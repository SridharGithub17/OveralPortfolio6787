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perties" sheetId="2" state="visible" r:id="rId4"/>
    <sheet name="Maintenance" sheetId="3" state="visible" r:id="rId5"/>
    <sheet name="Expenses" sheetId="4" state="visible" r:id="rId6"/>
    <sheet name="Refinance" sheetId="5" state="visible" r:id="rId7"/>
    <sheet name="Ohio Prospects" sheetId="6" state="visible" r:id="rId8"/>
    <sheet name="Ohio Market" sheetId="7" state="visible" r:id="rId9"/>
    <sheet name="Settings" sheetId="8" state="visible" r:id="rId10"/>
    <sheet name="_Lists" sheetId="9" state="hidden" r:id="rId11"/>
  </sheets>
  <definedNames>
    <definedName function="false" hidden="false" name="MarketRate15" vbProcedure="false">Settings!$C$6</definedName>
    <definedName function="false" hidden="false" name="MarketRate30" vbProcedure="false">Settings!$C$5</definedName>
    <definedName function="false" hidden="false" name="MgmtPct" vbProcedure="false">Settings!$C$13</definedName>
    <definedName function="false" hidden="false" name="MinEquityPct" vbProcedure="false">Settings!$C$10</definedName>
    <definedName function="false" hidden="false" name="RefiCostPct" vbProcedure="false">Settings!$C$7</definedName>
    <definedName function="false" hidden="false" name="RefiThreshold" vbProcedure="false">Settings!$C$11</definedName>
    <definedName function="false" hidden="false" name="TargetCapRate" vbProcedure="false">Settings!$C$8</definedName>
    <definedName function="false" hidden="false" name="TargetCoC" vbProcedure="false">Settings!$C$9</definedName>
    <definedName function="false" hidden="false" name="VacancyPct" vbProcedure="false">Settings!$C$12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<sst xmlns="http://schemas.openxmlformats.org/spreadsheetml/2006/main" count="349" uniqueCount="275">
  <si>
    <t xml:space="preserve">REAL ESTATE PORTFOLIO HUB</t>
  </si>
  <si>
    <t xml:space="preserve">Single-source workbook for tracking properties, maintenance, expenses, refinance opportunities, and Ohio acquisitions.</t>
  </si>
  <si>
    <t xml:space="preserve">HOW TO USE</t>
  </si>
  <si>
    <t xml:space="preserve">Sheet</t>
  </si>
  <si>
    <t xml:space="preserve">Purpose</t>
  </si>
  <si>
    <t xml:space="preserve">1. Properties</t>
  </si>
  <si>
    <t xml:space="preserve">Master list of every property you own. Fill blue input columns; black formula columns calculate equity, LTV, monthly cash flow, and refi flag.</t>
  </si>
  <si>
    <t xml:space="preserve">2. Maintenance</t>
  </si>
  <si>
    <t xml:space="preserve">Log inspections, repairs, system ages. Status column auto-flags items overdue or due within 60 days.</t>
  </si>
  <si>
    <t xml:space="preserve">3. Expenses</t>
  </si>
  <si>
    <t xml:space="preserve">Day-to-day expense log. Enter date, property, category, amount. Pivot-style monthly summary at right auto-totals by property.</t>
  </si>
  <si>
    <t xml:space="preserve">4. Refinance</t>
  </si>
  <si>
    <t xml:space="preserve">Per-property refi analyzer: current rate vs. market rate, monthly savings, break-even months, decision flag.</t>
  </si>
  <si>
    <t xml:space="preserve">5. Ohio Prospects</t>
  </si>
  <si>
    <t xml:space="preserve">Pipeline of properties you're evaluating. Built-in scoring: cap rate, cash-on-cash, 1% rule, score out of 100.</t>
  </si>
  <si>
    <t xml:space="preserve">6. Ohio Market</t>
  </si>
  <si>
    <t xml:space="preserve">Reference research on top Ohio cities, median prices, cap rate benchmarks, and current refi rates.</t>
  </si>
  <si>
    <t xml:space="preserve">7. Settings</t>
  </si>
  <si>
    <t xml:space="preserve">Global assumptions (current market mortgage rate, refi closing cost %, target cap rate). Change once and the whole workbook updates.</t>
  </si>
  <si>
    <t xml:space="preserve">COLOR LEGEND</t>
  </si>
  <si>
    <t xml:space="preserve">Blue text</t>
  </si>
  <si>
    <t xml:space="preserve">User input — change these</t>
  </si>
  <si>
    <t xml:space="preserve">Black text</t>
  </si>
  <si>
    <t xml:space="preserve">Formulas — do not overwrite</t>
  </si>
  <si>
    <t xml:space="preserve">Green text</t>
  </si>
  <si>
    <t xml:space="preserve">Cross-sheet links</t>
  </si>
  <si>
    <t xml:space="preserve">Yellow fill</t>
  </si>
  <si>
    <t xml:space="preserve">Key assumption to review</t>
  </si>
  <si>
    <t xml:space="preserve">Red fill</t>
  </si>
  <si>
    <t xml:space="preserve">Alert / action needed</t>
  </si>
  <si>
    <t xml:space="preserve">Amber fill</t>
  </si>
  <si>
    <t xml:space="preserve">Caution / due soon</t>
  </si>
  <si>
    <t xml:space="preserve">Green fill</t>
  </si>
  <si>
    <t xml:space="preserve">OK / on track</t>
  </si>
  <si>
    <t xml:space="preserve">Built May 2026 · Update Settings sheet whenever market rates move.</t>
  </si>
  <si>
    <t xml:space="preserve">PROPERTY MASTER LIST</t>
  </si>
  <si>
    <t xml:space="preserve">ID</t>
  </si>
  <si>
    <t xml:space="preserve">Nickname</t>
  </si>
  <si>
    <t xml:space="preserve">Address</t>
  </si>
  <si>
    <t xml:space="preserve">City</t>
  </si>
  <si>
    <t xml:space="preserve">State</t>
  </si>
  <si>
    <t xml:space="preserve">Type</t>
  </si>
  <si>
    <t xml:space="preserve">Year Built</t>
  </si>
  <si>
    <t xml:space="preserve">Bed/Bath</t>
  </si>
  <si>
    <t xml:space="preserve">Purchase Date</t>
  </si>
  <si>
    <t xml:space="preserve">Purchase Price</t>
  </si>
  <si>
    <t xml:space="preserve">Current Est. Value</t>
  </si>
  <si>
    <t xml:space="preserve">Mortgage Balance</t>
  </si>
  <si>
    <t xml:space="preserve">Equity</t>
  </si>
  <si>
    <t xml:space="preserve">LTV %</t>
  </si>
  <si>
    <t xml:space="preserve">Loan Rate %</t>
  </si>
  <si>
    <t xml:space="preserve">Loan Term (yrs)</t>
  </si>
  <si>
    <t xml:space="preserve">Monthly P&amp;I</t>
  </si>
  <si>
    <t xml:space="preserve">Monthly Tax+Ins</t>
  </si>
  <si>
    <t xml:space="preserve">Monthly HOA</t>
  </si>
  <si>
    <t xml:space="preserve">Monthly Rent</t>
  </si>
  <si>
    <t xml:space="preserve">Effective Rent</t>
  </si>
  <si>
    <t xml:space="preserve">Monthly Op Exp</t>
  </si>
  <si>
    <t xml:space="preserve">Mgmt Fee</t>
  </si>
  <si>
    <t xml:space="preserve">Net Cash Flow</t>
  </si>
  <si>
    <t xml:space="preserve">Annual NOI</t>
  </si>
  <si>
    <t xml:space="preserve">Cap Rate</t>
  </si>
  <si>
    <t xml:space="preserve">Refi Flag</t>
  </si>
  <si>
    <t xml:space="preserve">Notes</t>
  </si>
  <si>
    <t xml:space="preserve">Sample 1</t>
  </si>
  <si>
    <t xml:space="preserve">123 Maple St</t>
  </si>
  <si>
    <t xml:space="preserve">Columbus</t>
  </si>
  <si>
    <t xml:space="preserve">OH</t>
  </si>
  <si>
    <t xml:space="preserve">SFR</t>
  </si>
  <si>
    <t xml:space="preserve">3/2</t>
  </si>
  <si>
    <t xml:space="preserve">2021-06-15</t>
  </si>
  <si>
    <t xml:space="preserve">Sample 2</t>
  </si>
  <si>
    <t xml:space="preserve">456 Oak Ave</t>
  </si>
  <si>
    <t xml:space="preserve">Cleveland</t>
  </si>
  <si>
    <t xml:space="preserve">4/2</t>
  </si>
  <si>
    <t xml:space="preserve">2019-03-01</t>
  </si>
  <si>
    <t xml:space="preserve">Sample 3</t>
  </si>
  <si>
    <t xml:space="preserve">789 Pine Ln</t>
  </si>
  <si>
    <t xml:space="preserve">Cincinnati</t>
  </si>
  <si>
    <t xml:space="preserve">Duplex</t>
  </si>
  <si>
    <t xml:space="preserve">2x2/1</t>
  </si>
  <si>
    <t xml:space="preserve">2023-09-10</t>
  </si>
  <si>
    <t xml:space="preserve">PORTFOLIO TOTALS</t>
  </si>
  <si>
    <t xml:space="preserve">Total Value</t>
  </si>
  <si>
    <t xml:space="preserve">Total Mortgage</t>
  </si>
  <si>
    <t xml:space="preserve">Total Equity</t>
  </si>
  <si>
    <t xml:space="preserve">Avg LTV</t>
  </si>
  <si>
    <t xml:space="preserve">Monthly Net Cash Flow</t>
  </si>
  <si>
    <t xml:space="preserve">Portfolio Cap Rate</t>
  </si>
  <si>
    <t xml:space="preserve">MAINTENANCE &amp; IMPROVEMENT TRACKER</t>
  </si>
  <si>
    <t xml:space="preserve">Property</t>
  </si>
  <si>
    <t xml:space="preserve">System / Item</t>
  </si>
  <si>
    <t xml:space="preserve">Last Service / Install</t>
  </si>
  <si>
    <t xml:space="preserve">Lifespan (yrs)</t>
  </si>
  <si>
    <t xml:space="preserve">Next Due</t>
  </si>
  <si>
    <t xml:space="preserve">Status</t>
  </si>
  <si>
    <t xml:space="preserve">Cost Estimate</t>
  </si>
  <si>
    <t xml:space="preserve">Vendor</t>
  </si>
  <si>
    <t xml:space="preserve">Roof</t>
  </si>
  <si>
    <t xml:space="preserve">2010-08-01</t>
  </si>
  <si>
    <t xml:space="preserve">HVAC</t>
  </si>
  <si>
    <t xml:space="preserve">2018-05-15</t>
  </si>
  <si>
    <t xml:space="preserve">Comfort Pros</t>
  </si>
  <si>
    <t xml:space="preserve">Water Heater</t>
  </si>
  <si>
    <t xml:space="preserve">2021-01-10</t>
  </si>
  <si>
    <t xml:space="preserve">2023-04-20</t>
  </si>
  <si>
    <t xml:space="preserve">Furnace</t>
  </si>
  <si>
    <t xml:space="preserve">2014-11-30</t>
  </si>
  <si>
    <t xml:space="preserve">Exterior Paint</t>
  </si>
  <si>
    <t xml:space="preserve">2019-06-01</t>
  </si>
  <si>
    <t xml:space="preserve">Local Painter</t>
  </si>
  <si>
    <t xml:space="preserve">Plumbing inspection</t>
  </si>
  <si>
    <t xml:space="preserve">2024-09-15</t>
  </si>
  <si>
    <t xml:space="preserve">Annual</t>
  </si>
  <si>
    <t xml:space="preserve">ALERTS SUMMARY</t>
  </si>
  <si>
    <t xml:space="preserve">Overdue items</t>
  </si>
  <si>
    <t xml:space="preserve">Due within 60 days</t>
  </si>
  <si>
    <t xml:space="preserve">Total upcoming cost (overdue + 60d)</t>
  </si>
  <si>
    <t xml:space="preserve">EXPENSE TRACKER</t>
  </si>
  <si>
    <t xml:space="preserve">MONTHLY SUMMARY (current year)</t>
  </si>
  <si>
    <t xml:space="preserve">Date</t>
  </si>
  <si>
    <t xml:space="preserve">Category</t>
  </si>
  <si>
    <t xml:space="preserve">Vendor / Payee</t>
  </si>
  <si>
    <t xml:space="preserve">Description</t>
  </si>
  <si>
    <t xml:space="preserve">Amount</t>
  </si>
  <si>
    <t xml:space="preserve">Payment Method</t>
  </si>
  <si>
    <t xml:space="preserve">Receipt #</t>
  </si>
  <si>
    <t xml:space="preserve">MTD</t>
  </si>
  <si>
    <t xml:space="preserve">QTD</t>
  </si>
  <si>
    <t xml:space="preserve">YTD</t>
  </si>
  <si>
    <t xml:space="preserve">Last 12 mo</t>
  </si>
  <si>
    <t xml:space="preserve">2026-04-01</t>
  </si>
  <si>
    <t xml:space="preserve">Mortgage</t>
  </si>
  <si>
    <t xml:space="preserve">Chase</t>
  </si>
  <si>
    <t xml:space="preserve">April mortgage</t>
  </si>
  <si>
    <t xml:space="preserve">ACH</t>
  </si>
  <si>
    <t xml:space="preserve">Apr-MTG</t>
  </si>
  <si>
    <t xml:space="preserve">Wells Fargo</t>
  </si>
  <si>
    <t xml:space="preserve">Apr-MTG2</t>
  </si>
  <si>
    <t xml:space="preserve">2026-04-05</t>
  </si>
  <si>
    <t xml:space="preserve">Insurance</t>
  </si>
  <si>
    <t xml:space="preserve">State Farm</t>
  </si>
  <si>
    <t xml:space="preserve">Q2 premium</t>
  </si>
  <si>
    <t xml:space="preserve">INS-Q2</t>
  </si>
  <si>
    <t xml:space="preserve">2026-04-12</t>
  </si>
  <si>
    <t xml:space="preserve">Repairs</t>
  </si>
  <si>
    <t xml:space="preserve">Quick Plumbing</t>
  </si>
  <si>
    <t xml:space="preserve">Leaky faucet</t>
  </si>
  <si>
    <t xml:space="preserve">Card</t>
  </si>
  <si>
    <t xml:space="preserve">RPR-118</t>
  </si>
  <si>
    <t xml:space="preserve">2026-04-22</t>
  </si>
  <si>
    <t xml:space="preserve">Property Tax</t>
  </si>
  <si>
    <t xml:space="preserve">Cuyahoga Cty</t>
  </si>
  <si>
    <t xml:space="preserve">1H tax</t>
  </si>
  <si>
    <t xml:space="preserve">TAX-1H</t>
  </si>
  <si>
    <t xml:space="preserve">TOTAL</t>
  </si>
  <si>
    <t xml:space="preserve">BY CATEGORY (YTD)</t>
  </si>
  <si>
    <t xml:space="preserve">YTD Total</t>
  </si>
  <si>
    <t xml:space="preserve">Utilities</t>
  </si>
  <si>
    <t xml:space="preserve">Capital Improvement</t>
  </si>
  <si>
    <t xml:space="preserve">HOA</t>
  </si>
  <si>
    <t xml:space="preserve">Travel</t>
  </si>
  <si>
    <t xml:space="preserve">Legal/Accounting</t>
  </si>
  <si>
    <t xml:space="preserve">Other</t>
  </si>
  <si>
    <t xml:space="preserve">REFINANCE OPPORTUNITY ANALYZER</t>
  </si>
  <si>
    <t xml:space="preserve">Curr Balance</t>
  </si>
  <si>
    <t xml:space="preserve">Curr Rate</t>
  </si>
  <si>
    <t xml:space="preserve">Yrs Left</t>
  </si>
  <si>
    <t xml:space="preserve">Curr P&amp;I</t>
  </si>
  <si>
    <t xml:space="preserve">Mkt Rate</t>
  </si>
  <si>
    <t xml:space="preserve">New Term</t>
  </si>
  <si>
    <t xml:space="preserve">New P&amp;I</t>
  </si>
  <si>
    <t xml:space="preserve">Mo Savings</t>
  </si>
  <si>
    <t xml:space="preserve">Closing Cost</t>
  </si>
  <si>
    <t xml:space="preserve">Break-Even (mo)</t>
  </si>
  <si>
    <t xml:space="preserve">Decision</t>
  </si>
  <si>
    <t xml:space="preserve">HOW TO READ THIS</t>
  </si>
  <si>
    <t xml:space="preserve">• Mkt Rate pulls live from Settings sheet — update there once a month from Bankrate.</t>
  </si>
  <si>
    <t xml:space="preserve">• Closing cost defaults to 2.5% of new balance; tweak in Settings if your lender quotes differently.</t>
  </si>
  <si>
    <t xml:space="preserve">• Break-Even = closing cost ÷ monthly savings. Anything ≤ 24 months and you're staying ≥ 3-5 years is usually a yes.</t>
  </si>
  <si>
    <t xml:space="preserve">• Decision column considers both savings threshold ($150/mo default) AND break-even speed.</t>
  </si>
  <si>
    <t xml:space="preserve">• ALWAYS verify with a lender quote before pulling the trigger — Excel rates are national averages, not your offer.</t>
  </si>
  <si>
    <t xml:space="preserve">OHIO ACQUISITION PIPELINE</t>
  </si>
  <si>
    <t xml:space="preserve">Zip</t>
  </si>
  <si>
    <t xml:space="preserve">Year</t>
  </si>
  <si>
    <t xml:space="preserve">List Price</t>
  </si>
  <si>
    <t xml:space="preserve">Est. ARV</t>
  </si>
  <si>
    <t xml:space="preserve">Est. Rent/mo</t>
  </si>
  <si>
    <t xml:space="preserve">Annual Tax</t>
  </si>
  <si>
    <t xml:space="preserve">Annual Ins</t>
  </si>
  <si>
    <t xml:space="preserve">Annual Mgmt+Repairs</t>
  </si>
  <si>
    <t xml:space="preserve">Down Pmt %</t>
  </si>
  <si>
    <t xml:space="preserve">Loan Rate</t>
  </si>
  <si>
    <t xml:space="preserve">Term</t>
  </si>
  <si>
    <t xml:space="preserve">GRM</t>
  </si>
  <si>
    <t xml:space="preserve">1% Rule</t>
  </si>
  <si>
    <t xml:space="preserve">Down $</t>
  </si>
  <si>
    <t xml:space="preserve">Loan $</t>
  </si>
  <si>
    <t xml:space="preserve">Mo P&amp;I</t>
  </si>
  <si>
    <t xml:space="preserve">Annual CF</t>
  </si>
  <si>
    <t xml:space="preserve">Cash-on-Cash</t>
  </si>
  <si>
    <t xml:space="preserve">Score (100)</t>
  </si>
  <si>
    <t xml:space="preserve">Watching</t>
  </si>
  <si>
    <t xml:space="preserve">100 Hot Lead Way</t>
  </si>
  <si>
    <t xml:space="preserve">44109</t>
  </si>
  <si>
    <t xml:space="preserve">Touring</t>
  </si>
  <si>
    <t xml:space="preserve">200 Equity Ln</t>
  </si>
  <si>
    <t xml:space="preserve">Dayton</t>
  </si>
  <si>
    <t xml:space="preserve">45406</t>
  </si>
  <si>
    <t xml:space="preserve">3/1.5</t>
  </si>
  <si>
    <t xml:space="preserve">300 Cap Rate Ct</t>
  </si>
  <si>
    <t xml:space="preserve">Toledo</t>
  </si>
  <si>
    <t xml:space="preserve">43607</t>
  </si>
  <si>
    <t xml:space="preserve">SCORING METHODOLOGY</t>
  </si>
  <si>
    <t xml:space="preserve">Score = 40 pts (cap rate vs target) + 40 pts (cash-on-cash vs target) + 20 pts (1% rule).</t>
  </si>
  <si>
    <t xml:space="preserve">85+ = strong buy candidate · 70-84 = analyze deeper · &lt;70 = pass or negotiate harder.</t>
  </si>
  <si>
    <t xml:space="preserve">Targets are set on the Settings sheet. Adjust to your own underwriting.</t>
  </si>
  <si>
    <t xml:space="preserve">OHIO MARKET REFERENCE</t>
  </si>
  <si>
    <t xml:space="preserve">Snapshot of top Ohio markets and current refi context (May 2026). Refresh quarterly.</t>
  </si>
  <si>
    <t xml:space="preserve">TOP OHIO INVESTMENT MARKETS</t>
  </si>
  <si>
    <t xml:space="preserve">Median Price</t>
  </si>
  <si>
    <t xml:space="preserve">Rent-to-Yield</t>
  </si>
  <si>
    <t xml:space="preserve">2026 Forecast</t>
  </si>
  <si>
    <t xml:space="preserve">Cap Rate Range</t>
  </si>
  <si>
    <t xml:space="preserve">Investment Thesis</t>
  </si>
  <si>
    <t xml:space="preserve">Strong demand</t>
  </si>
  <si>
    <t xml:space="preserve">7-9%</t>
  </si>
  <si>
    <t xml:space="preserve">RentCafe #1 hottest rental market into 2026; 81% YoY apartment demand jump. Strong multifamily play.</t>
  </si>
  <si>
    <t xml:space="preserve">+5-7%</t>
  </si>
  <si>
    <t xml:space="preserve">8-10%</t>
  </si>
  <si>
    <t xml:space="preserve">$20B Intel semiconductor project drives jobs, talent, housing demand. Balanced yield + low vacancy.</t>
  </si>
  <si>
    <t xml:space="preserve">Stable</t>
  </si>
  <si>
    <t xml:space="preserve">10-13%</t>
  </si>
  <si>
    <t xml:space="preserve">Highest rent-to-yield ratio (~11.3%). Best cash flow city in the state. Watch neighborhood-specific risk.</t>
  </si>
  <si>
    <t xml:space="preserve">+13.1%</t>
  </si>
  <si>
    <t xml:space="preserve">9-12%</t>
  </si>
  <si>
    <t xml:space="preserve">Projected to lead Ohio in price growth (13.1%). Affordability + demand. Underpriced market.</t>
  </si>
  <si>
    <t xml:space="preserve">"Cash Flow Capital" — most affordable entry in Ohio. Strong 1% rule territory.</t>
  </si>
  <si>
    <t xml:space="preserve">MORTGAGE RATE CONTEXT (May 3, 2026)</t>
  </si>
  <si>
    <t xml:space="preserve">30-yr fixed refi (Bankrate national avg)</t>
  </si>
  <si>
    <t xml:space="preserve">30-yr fixed refi (Zillow)</t>
  </si>
  <si>
    <t xml:space="preserve">April 2026 low (April 18)</t>
  </si>
  <si>
    <t xml:space="preserve">Q2 2026 forecast (MBA / Fannie Mae)</t>
  </si>
  <si>
    <t xml:space="preserve">15-yr fixed refi (approx)</t>
  </si>
  <si>
    <t xml:space="preserve">TREND: Started April at ~6.30%, dipped to 6.02% on Apr 18, climbed back to 6.20%, now 6.62-6.68%. Inflation + global tensions keeping rates elevated. Rates fluctuate daily — quote multiple lenders.</t>
  </si>
  <si>
    <t xml:space="preserve">SOURCES</t>
  </si>
  <si>
    <t xml:space="preserve">• Norada Real Estate — Best Cities in Ohio to Invest in Real Estate in 2026</t>
  </si>
  <si>
    <t xml:space="preserve">• Norada Real Estate — Mortgage Rates Today, May 3, 2026</t>
  </si>
  <si>
    <t xml:space="preserve">• Bankrate — Current Refinance Rates (refreshed daily)</t>
  </si>
  <si>
    <t xml:space="preserve">• RentCafe — 2026 Hottest Rental Markets</t>
  </si>
  <si>
    <t xml:space="preserve">• Easy Street Capital — Top 5 Best Places to Invest in Ohio Real Estate in 2026</t>
  </si>
  <si>
    <t xml:space="preserve">GLOBAL ASSUMPTIONS</t>
  </si>
  <si>
    <t xml:space="preserve">Assumption</t>
  </si>
  <si>
    <t xml:space="preserve">Value</t>
  </si>
  <si>
    <t xml:space="preserve">Current 30-yr market mortgage rate</t>
  </si>
  <si>
    <t xml:space="preserve">As of May 3, 2026 — Bankrate national average. Update monthly.</t>
  </si>
  <si>
    <t xml:space="preserve">Current 15-yr market mortgage rate</t>
  </si>
  <si>
    <t xml:space="preserve">Approx. Update from Bankrate or your lender.</t>
  </si>
  <si>
    <t xml:space="preserve">Refi closing cost (% of loan)</t>
  </si>
  <si>
    <t xml:space="preserve">Typical 2-3% of new loan amount.</t>
  </si>
  <si>
    <t xml:space="preserve">Target cap rate (Ohio)</t>
  </si>
  <si>
    <t xml:space="preserve">Ohio cash-flow markets often 8-12%.</t>
  </si>
  <si>
    <t xml:space="preserve">Target cash-on-cash return</t>
  </si>
  <si>
    <t xml:space="preserve">10%+ is strong for buy-and-hold.</t>
  </si>
  <si>
    <t xml:space="preserve">Min equity for refi (%)</t>
  </si>
  <si>
    <t xml:space="preserve">Most lenders require 20% equity / 80% LTV.</t>
  </si>
  <si>
    <t xml:space="preserve">Refi savings threshold ($/mo)</t>
  </si>
  <si>
    <t xml:space="preserve">Don't refi unless monthly savings clear this hurdle.</t>
  </si>
  <si>
    <t xml:space="preserve">Vacancy assumption (%)</t>
  </si>
  <si>
    <t xml:space="preserve">Typical SFR underwriting.</t>
  </si>
  <si>
    <t xml:space="preserve">Property mgmt fee (% of rent)</t>
  </si>
  <si>
    <t xml:space="preserve">If self-managing, set to 0%.</t>
  </si>
  <si>
    <t xml:space="preserve">Offer</t>
  </si>
  <si>
    <t xml:space="preserve">Won</t>
  </si>
  <si>
    <t xml:space="preserve">Lost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</si>
</sst>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0%;\(0.00%\);\-"/>
    <numFmt numFmtId="167" formatCode="yyyy\-mm\-dd"/>
    <numFmt numFmtId="168" formatCode="0.0;\(0.0\);\-"/>
    <numFmt numFmtId="169" formatCode="0"/>
    <numFmt numFmtId="170" formatCode="0.00%"/>
    <numFmt numFmtId="171" formatCode="\$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A5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20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55555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7F3E6"/>
        <bgColor rgb="FFEAF1F5"/>
      </patternFill>
    </fill>
    <fill>
      <patternFill patternType="solid">
        <fgColor rgb="FFFFFF00"/>
        <bgColor rgb="FFFFFF00"/>
      </patternFill>
    </fill>
    <fill>
      <patternFill patternType="solid">
        <fgColor rgb="FFF8D7DA"/>
        <bgColor rgb="FFF7F3E6"/>
      </patternFill>
    </fill>
    <fill>
      <patternFill patternType="solid">
        <fgColor rgb="FFFFF3CD"/>
        <bgColor rgb="FFF7F3E6"/>
      </patternFill>
    </fill>
    <fill>
      <patternFill patternType="solid">
        <fgColor rgb="FFD4EDDA"/>
        <bgColor rgb="FFEAF1F5"/>
      </patternFill>
    </fill>
    <fill>
      <patternFill patternType="solid">
        <fgColor rgb="FF2E7D8F"/>
        <bgColor rgb="FF008080"/>
      </patternFill>
    </fill>
    <fill>
      <patternFill patternType="solid">
        <fgColor rgb="FFEAF1F5"/>
        <bgColor rgb="FFF7F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6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EAF1F5"/>
        </patternFill>
      </fill>
    </dxf>
    <dxf>
      <fill>
        <patternFill>
          <bgColor rgb="FFF8D7DA"/>
        </patternFill>
      </fill>
    </dxf>
    <dxf>
      <fill>
        <patternFill>
          <bgColor rgb="FFEAF1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777777"/>
      <rgbColor rgb="FF9999FF"/>
      <rgbColor rgb="FF993366"/>
      <rgbColor rgb="FFFFF3CD"/>
      <rgbColor rgb="FFEAF1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3E6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2E7D8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80"/>
  </cols>
  <sheetData>
    <row r="2" customFormat="false" ht="26.25" hidden="false" customHeight="true" outlineLevel="0" collapsed="false">
      <c r="B2" s="2" t="s">
        <v>0</v>
      </c>
      <c r="C2" s="2"/>
    </row>
    <row r="3" customFormat="false" ht="15" hidden="false" customHeight="true" outlineLevel="0" collapsed="false">
      <c r="B3" s="3" t="s">
        <v>1</v>
      </c>
      <c r="C3" s="3"/>
    </row>
    <row r="5" customFormat="false" ht="25.5" hidden="false" customHeight="true" outlineLevel="0" collapsed="false">
      <c r="B5" s="4" t="s">
        <v>2</v>
      </c>
      <c r="C5" s="4"/>
    </row>
    <row r="7" customFormat="false" ht="31.5" hidden="false" customHeight="true" outlineLevel="0" collapsed="false">
      <c r="B7" s="5" t="s">
        <v>3</v>
      </c>
      <c r="C7" s="5" t="s">
        <v>4</v>
      </c>
    </row>
    <row r="8" customFormat="false" ht="31.5" hidden="false" customHeight="true" outlineLevel="0" collapsed="false">
      <c r="B8" s="6" t="s">
        <v>5</v>
      </c>
      <c r="C8" s="6" t="s">
        <v>6</v>
      </c>
    </row>
    <row r="9" customFormat="false" ht="31.5" hidden="false" customHeight="true" outlineLevel="0" collapsed="false">
      <c r="B9" s="6" t="s">
        <v>7</v>
      </c>
      <c r="C9" s="6" t="s">
        <v>8</v>
      </c>
    </row>
    <row r="10" customFormat="false" ht="31.5" hidden="false" customHeight="true" outlineLevel="0" collapsed="false">
      <c r="B10" s="6" t="s">
        <v>9</v>
      </c>
      <c r="C10" s="6" t="s">
        <v>10</v>
      </c>
    </row>
    <row r="11" customFormat="false" ht="31.5" hidden="false" customHeight="true" outlineLevel="0" collapsed="false">
      <c r="B11" s="6" t="s">
        <v>11</v>
      </c>
      <c r="C11" s="6" t="s">
        <v>12</v>
      </c>
    </row>
    <row r="12" customFormat="false" ht="31.5" hidden="false" customHeight="true" outlineLevel="0" collapsed="false">
      <c r="B12" s="6" t="s">
        <v>13</v>
      </c>
      <c r="C12" s="6" t="s">
        <v>14</v>
      </c>
    </row>
    <row r="13" customFormat="false" ht="31.5" hidden="false" customHeight="true" outlineLevel="0" collapsed="false">
      <c r="B13" s="6" t="s">
        <v>15</v>
      </c>
      <c r="C13" s="6" t="s">
        <v>16</v>
      </c>
    </row>
    <row r="14" customFormat="false" ht="31.5" hidden="false" customHeight="true" outlineLevel="0" collapsed="false">
      <c r="B14" s="6" t="s">
        <v>17</v>
      </c>
      <c r="C14" s="6" t="s">
        <v>18</v>
      </c>
    </row>
    <row r="17" customFormat="false" ht="25.5" hidden="false" customHeight="true" outlineLevel="0" collapsed="false">
      <c r="B17" s="4" t="s">
        <v>19</v>
      </c>
      <c r="C17" s="4"/>
    </row>
    <row r="19" customFormat="false" ht="15" hidden="false" customHeight="true" outlineLevel="0" collapsed="false">
      <c r="B19" s="7" t="s">
        <v>20</v>
      </c>
      <c r="C19" s="8" t="s">
        <v>21</v>
      </c>
    </row>
    <row r="20" customFormat="false" ht="15" hidden="false" customHeight="true" outlineLevel="0" collapsed="false">
      <c r="B20" s="9" t="s">
        <v>22</v>
      </c>
      <c r="C20" s="8" t="s">
        <v>23</v>
      </c>
    </row>
    <row r="21" customFormat="false" ht="15" hidden="false" customHeight="true" outlineLevel="0" collapsed="false">
      <c r="B21" s="10" t="s">
        <v>24</v>
      </c>
      <c r="C21" s="8" t="s">
        <v>25</v>
      </c>
    </row>
    <row r="22" customFormat="false" ht="15" hidden="false" customHeight="true" outlineLevel="0" collapsed="false">
      <c r="B22" s="11" t="s">
        <v>26</v>
      </c>
      <c r="C22" s="8" t="s">
        <v>27</v>
      </c>
    </row>
    <row r="23" customFormat="false" ht="15" hidden="false" customHeight="true" outlineLevel="0" collapsed="false">
      <c r="B23" s="12" t="s">
        <v>28</v>
      </c>
      <c r="C23" s="8" t="s">
        <v>29</v>
      </c>
    </row>
    <row r="24" customFormat="false" ht="15" hidden="false" customHeight="true" outlineLevel="0" collapsed="false">
      <c r="B24" s="13" t="s">
        <v>30</v>
      </c>
      <c r="C24" s="8" t="s">
        <v>31</v>
      </c>
    </row>
    <row r="25" customFormat="false" ht="15" hidden="false" customHeight="true" outlineLevel="0" collapsed="false">
      <c r="B25" s="14" t="s">
        <v>32</v>
      </c>
      <c r="C25" s="8" t="s">
        <v>33</v>
      </c>
    </row>
    <row r="27" customFormat="false" ht="15" hidden="false" customHeight="true" outlineLevel="0" collapsed="false">
      <c r="B27" s="15" t="s">
        <v>34</v>
      </c>
      <c r="C27" s="15"/>
    </row>
  </sheetData>
  <mergeCells count="5">
    <mergeCell ref="B2:C2"/>
    <mergeCell ref="B3:C3"/>
    <mergeCell ref="B5:C5"/>
    <mergeCell ref="B17:C17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32"/>
    <col collapsed="false" customWidth="true" hidden="false" outlineLevel="0" max="4" min="4" style="1" width="16"/>
    <col collapsed="false" customWidth="true" hidden="false" outlineLevel="0" max="5" min="5" style="1" width="8"/>
    <col collapsed="false" customWidth="true" hidden="false" outlineLevel="0" max="8" min="6" style="1" width="10"/>
    <col collapsed="false" customWidth="true" hidden="false" outlineLevel="0" max="9" min="9" style="1" width="13"/>
    <col collapsed="false" customWidth="true" hidden="false" outlineLevel="0" max="13" min="10" style="1" width="14"/>
    <col collapsed="false" customWidth="true" hidden="false" outlineLevel="0" max="14" min="14" style="1" width="9"/>
    <col collapsed="false" customWidth="true" hidden="false" outlineLevel="0" max="16" min="15" style="1" width="10"/>
    <col collapsed="false" customWidth="true" hidden="false" outlineLevel="0" max="18" min="17" style="1" width="12"/>
    <col collapsed="false" customWidth="true" hidden="false" outlineLevel="0" max="19" min="19" style="1" width="10"/>
    <col collapsed="false" customWidth="true" hidden="false" outlineLevel="0" max="23" min="20" style="1" width="12"/>
    <col collapsed="false" customWidth="true" hidden="false" outlineLevel="0" max="25" min="24" style="1" width="14"/>
    <col collapsed="false" customWidth="true" hidden="false" outlineLevel="0" max="26" min="26" style="1" width="10"/>
    <col collapsed="false" customWidth="true" hidden="false" outlineLevel="0" max="27" min="27" style="1" width="16"/>
    <col collapsed="false" customWidth="true" hidden="false" outlineLevel="0" max="28" min="28" style="1" width="28"/>
  </cols>
  <sheetData>
    <row r="1" customFormat="false" ht="27.75" hidden="false" customHeight="true" outlineLevel="0" collapsed="false">
      <c r="A1" s="16" t="s">
        <v>35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3" customFormat="false" ht="30" hidden="false" customHeight="true" outlineLevel="0" collapsed="false">
      <c r="A3" s="17" t="s">
        <v>36</v>
      </c>
      <c r="B3" s="17" t="s">
        <v>37</v>
      </c>
      <c r="C3" s="17" t="s">
        <v>38</v>
      </c>
      <c r="D3" s="17" t="s">
        <v>39</v>
      </c>
      <c r="E3" s="17" t="s">
        <v>40</v>
      </c>
      <c r="F3" s="17" t="s">
        <v>41</v>
      </c>
      <c r="G3" s="17" t="s">
        <v>42</v>
      </c>
      <c r="H3" s="17" t="s">
        <v>43</v>
      </c>
      <c r="I3" s="17" t="s">
        <v>44</v>
      </c>
      <c r="J3" s="17" t="s">
        <v>45</v>
      </c>
      <c r="K3" s="17" t="s">
        <v>46</v>
      </c>
      <c r="L3" s="17" t="s">
        <v>47</v>
      </c>
      <c r="M3" s="17" t="s">
        <v>48</v>
      </c>
      <c r="N3" s="17" t="s">
        <v>49</v>
      </c>
      <c r="O3" s="17" t="s">
        <v>50</v>
      </c>
      <c r="P3" s="17" t="s">
        <v>51</v>
      </c>
      <c r="Q3" s="17" t="s">
        <v>52</v>
      </c>
      <c r="R3" s="17" t="s">
        <v>53</v>
      </c>
      <c r="S3" s="17" t="s">
        <v>54</v>
      </c>
      <c r="T3" s="17" t="s">
        <v>55</v>
      </c>
      <c r="U3" s="17" t="s">
        <v>56</v>
      </c>
      <c r="V3" s="17" t="s">
        <v>57</v>
      </c>
      <c r="W3" s="17" t="s">
        <v>58</v>
      </c>
      <c r="X3" s="17" t="s">
        <v>59</v>
      </c>
      <c r="Y3" s="17" t="s">
        <v>60</v>
      </c>
      <c r="Z3" s="17" t="s">
        <v>61</v>
      </c>
      <c r="AA3" s="17" t="s">
        <v>62</v>
      </c>
      <c r="AB3" s="17" t="s">
        <v>63</v>
      </c>
    </row>
    <row r="4" customFormat="false" ht="21.75" hidden="false" customHeight="true" outlineLevel="0" collapsed="false">
      <c r="A4" s="18" t="n">
        <v>1</v>
      </c>
      <c r="B4" s="19" t="s">
        <v>64</v>
      </c>
      <c r="C4" s="19" t="s">
        <v>65</v>
      </c>
      <c r="D4" s="19" t="s">
        <v>66</v>
      </c>
      <c r="E4" s="19" t="s">
        <v>67</v>
      </c>
      <c r="F4" s="19" t="s">
        <v>68</v>
      </c>
      <c r="G4" s="19" t="n">
        <v>1998</v>
      </c>
      <c r="H4" s="19" t="s">
        <v>69</v>
      </c>
      <c r="I4" s="19" t="s">
        <v>70</v>
      </c>
      <c r="J4" s="20" t="n">
        <v>185000</v>
      </c>
      <c r="K4" s="20" t="n">
        <v>235000</v>
      </c>
      <c r="L4" s="20" t="n">
        <v>142000</v>
      </c>
      <c r="M4" s="21" t="n">
        <f aca="false">K4-L4</f>
        <v>93000</v>
      </c>
      <c r="N4" s="22" t="n">
        <f aca="false">IFERROR(L4/K4,0)</f>
        <v>0.604255319148936</v>
      </c>
      <c r="O4" s="23" t="n">
        <v>0.0625</v>
      </c>
      <c r="P4" s="19" t="n">
        <v>30</v>
      </c>
      <c r="Q4" s="20" t="n">
        <v>1135</v>
      </c>
      <c r="R4" s="20" t="n">
        <v>425</v>
      </c>
      <c r="S4" s="20" t="n">
        <v>0</v>
      </c>
      <c r="T4" s="20" t="n">
        <v>1850</v>
      </c>
      <c r="U4" s="21" t="n">
        <f aca="false">T4*(1-VacancyPct)</f>
        <v>1702</v>
      </c>
      <c r="V4" s="20" t="n">
        <v>0</v>
      </c>
      <c r="W4" s="21" t="n">
        <f aca="false">T4*MgmtPct</f>
        <v>148</v>
      </c>
      <c r="X4" s="21" t="n">
        <f aca="false">U4-Q4-R4-S4-V4-W4</f>
        <v>-6</v>
      </c>
      <c r="Y4" s="21" t="n">
        <f aca="false">(U4-R4-S4-V4-W4)*12</f>
        <v>13548</v>
      </c>
      <c r="Z4" s="22" t="n">
        <f aca="false">IFERROR(Y4/K4,0)</f>
        <v>0.0576510638297872</v>
      </c>
      <c r="AA4" s="18" t="str">
        <f aca="false">IF(O4="","",IF(AND(O4-MarketRate30&gt;=0.005,(1-N4)&gt;=MinEquityPct),"Consider Refi",IF(O4-MarketRate30&lt;0.005,"Rate already low","Build equity first")))</f>
        <v>Rate already low</v>
      </c>
      <c r="AB4" s="19" t="n">
        <v>250</v>
      </c>
    </row>
    <row r="5" customFormat="false" ht="21.75" hidden="false" customHeight="true" outlineLevel="0" collapsed="false">
      <c r="A5" s="24" t="n">
        <v>2</v>
      </c>
      <c r="B5" s="25" t="s">
        <v>71</v>
      </c>
      <c r="C5" s="25" t="s">
        <v>72</v>
      </c>
      <c r="D5" s="25" t="s">
        <v>73</v>
      </c>
      <c r="E5" s="25" t="s">
        <v>67</v>
      </c>
      <c r="F5" s="25" t="s">
        <v>68</v>
      </c>
      <c r="G5" s="25" t="n">
        <v>1965</v>
      </c>
      <c r="H5" s="25" t="s">
        <v>74</v>
      </c>
      <c r="I5" s="25" t="s">
        <v>75</v>
      </c>
      <c r="J5" s="26" t="n">
        <v>110000</v>
      </c>
      <c r="K5" s="26" t="n">
        <v>165000</v>
      </c>
      <c r="L5" s="26" t="n">
        <v>78000</v>
      </c>
      <c r="M5" s="27" t="n">
        <f aca="false">K5-L5</f>
        <v>87000</v>
      </c>
      <c r="N5" s="28" t="n">
        <f aca="false">IFERROR(L5/K5,0)</f>
        <v>0.472727272727273</v>
      </c>
      <c r="O5" s="29" t="n">
        <v>0.0425</v>
      </c>
      <c r="P5" s="25" t="n">
        <v>30</v>
      </c>
      <c r="Q5" s="26" t="n">
        <v>525</v>
      </c>
      <c r="R5" s="26" t="n">
        <v>320</v>
      </c>
      <c r="S5" s="26" t="n">
        <v>0</v>
      </c>
      <c r="T5" s="26" t="n">
        <v>1450</v>
      </c>
      <c r="U5" s="27" t="n">
        <f aca="false">T5*(1-VacancyPct)</f>
        <v>1334</v>
      </c>
      <c r="V5" s="26" t="n">
        <v>0</v>
      </c>
      <c r="W5" s="27" t="n">
        <f aca="false">T5*MgmtPct</f>
        <v>116</v>
      </c>
      <c r="X5" s="27" t="n">
        <f aca="false">U5-Q5-R5-S5-V5-W5</f>
        <v>373</v>
      </c>
      <c r="Y5" s="27" t="n">
        <f aca="false">(U5-R5-S5-V5-W5)*12</f>
        <v>10776</v>
      </c>
      <c r="Z5" s="28" t="n">
        <f aca="false">IFERROR(Y5/K5,0)</f>
        <v>0.0653090909090909</v>
      </c>
      <c r="AA5" s="24" t="str">
        <f aca="false">IF(O5="","",IF(AND(O5-MarketRate30&gt;=0.005,(1-N5)&gt;=MinEquityPct),"Consider Refi",IF(O5-MarketRate30&lt;0.005,"Rate already low","Build equity first")))</f>
        <v>Rate already low</v>
      </c>
      <c r="AB5" s="25" t="n">
        <v>180</v>
      </c>
    </row>
    <row r="6" customFormat="false" ht="21.75" hidden="false" customHeight="true" outlineLevel="0" collapsed="false">
      <c r="A6" s="18" t="n">
        <v>3</v>
      </c>
      <c r="B6" s="19" t="s">
        <v>76</v>
      </c>
      <c r="C6" s="19" t="s">
        <v>77</v>
      </c>
      <c r="D6" s="19" t="s">
        <v>78</v>
      </c>
      <c r="E6" s="19" t="s">
        <v>67</v>
      </c>
      <c r="F6" s="19" t="s">
        <v>79</v>
      </c>
      <c r="G6" s="19" t="n">
        <v>1978</v>
      </c>
      <c r="H6" s="19" t="s">
        <v>80</v>
      </c>
      <c r="I6" s="19" t="s">
        <v>81</v>
      </c>
      <c r="J6" s="20" t="n">
        <v>240000</v>
      </c>
      <c r="K6" s="20" t="n">
        <v>275000</v>
      </c>
      <c r="L6" s="20" t="n">
        <v>205000</v>
      </c>
      <c r="M6" s="21" t="n">
        <f aca="false">K6-L6</f>
        <v>70000</v>
      </c>
      <c r="N6" s="22" t="n">
        <f aca="false">IFERROR(L6/K6,0)</f>
        <v>0.745454545454546</v>
      </c>
      <c r="O6" s="23" t="n">
        <v>0.075</v>
      </c>
      <c r="P6" s="19" t="n">
        <v>30</v>
      </c>
      <c r="Q6" s="20" t="n">
        <v>1430</v>
      </c>
      <c r="R6" s="20" t="n">
        <v>510</v>
      </c>
      <c r="S6" s="20" t="n">
        <v>0</v>
      </c>
      <c r="T6" s="20" t="n">
        <v>2400</v>
      </c>
      <c r="U6" s="21" t="n">
        <f aca="false">T6*(1-VacancyPct)</f>
        <v>2208</v>
      </c>
      <c r="V6" s="20" t="n">
        <v>0</v>
      </c>
      <c r="W6" s="21" t="n">
        <f aca="false">T6*MgmtPct</f>
        <v>192</v>
      </c>
      <c r="X6" s="21" t="n">
        <f aca="false">U6-Q6-R6-S6-V6-W6</f>
        <v>76</v>
      </c>
      <c r="Y6" s="21" t="n">
        <f aca="false">(U6-R6-S6-V6-W6)*12</f>
        <v>18072</v>
      </c>
      <c r="Z6" s="22" t="n">
        <f aca="false">IFERROR(Y6/K6,0)</f>
        <v>0.0657163636363636</v>
      </c>
      <c r="AA6" s="18" t="str">
        <f aca="false">IF(O6="","",IF(AND(O6-MarketRate30&gt;=0.005,(1-N6)&gt;=MinEquityPct),"Consider Refi",IF(O6-MarketRate30&lt;0.005,"Rate already low","Build equity first")))</f>
        <v>Consider Refi</v>
      </c>
      <c r="AB6" s="19" t="n">
        <v>320</v>
      </c>
    </row>
    <row r="7" customFormat="false" ht="21.75" hidden="false" customHeight="true" outlineLevel="0" collapsed="false">
      <c r="A7" s="24" t="n">
        <v>4</v>
      </c>
      <c r="B7" s="25"/>
      <c r="C7" s="25"/>
      <c r="D7" s="25"/>
      <c r="E7" s="25"/>
      <c r="F7" s="25"/>
      <c r="G7" s="25"/>
      <c r="H7" s="25"/>
      <c r="I7" s="25"/>
      <c r="J7" s="26"/>
      <c r="K7" s="26"/>
      <c r="L7" s="26"/>
      <c r="M7" s="27" t="str">
        <f aca="false">IF(K7="","",K7-L7)</f>
        <v/>
      </c>
      <c r="N7" s="28" t="str">
        <f aca="false">IFERROR(L7/K7,"")</f>
        <v/>
      </c>
      <c r="O7" s="29"/>
      <c r="P7" s="25"/>
      <c r="Q7" s="26"/>
      <c r="R7" s="26"/>
      <c r="S7" s="26"/>
      <c r="T7" s="26"/>
      <c r="U7" s="27" t="str">
        <f aca="false">IF(T7="","",T7*(1-VacancyPct))</f>
        <v/>
      </c>
      <c r="V7" s="26"/>
      <c r="W7" s="27" t="str">
        <f aca="false">IF(T7="","",T7*MgmtPct)</f>
        <v/>
      </c>
      <c r="X7" s="27" t="str">
        <f aca="false">IF(T7="","",U7-Q7-R7-S7-V7-W7)</f>
        <v/>
      </c>
      <c r="Y7" s="27" t="str">
        <f aca="false">IF(T7="","",(U7-R7-S7-V7-W7)*12)</f>
        <v/>
      </c>
      <c r="Z7" s="28" t="str">
        <f aca="false">IFERROR(Y7/K7,"")</f>
        <v/>
      </c>
      <c r="AA7" s="24" t="str">
        <f aca="false">IF(O7="","",IF(AND(O7-MarketRate30&gt;=0.005,(1-N7)&gt;=MinEquityPct),"Consider Refi",IF(O7-MarketRate30&lt;0.005,"Rate already low","Build equity first")))</f>
        <v/>
      </c>
      <c r="AB7" s="25"/>
    </row>
    <row r="8" customFormat="false" ht="21.75" hidden="false" customHeight="true" outlineLevel="0" collapsed="false">
      <c r="A8" s="18" t="n">
        <v>5</v>
      </c>
      <c r="B8" s="19"/>
      <c r="C8" s="19"/>
      <c r="D8" s="19"/>
      <c r="E8" s="19"/>
      <c r="F8" s="19"/>
      <c r="G8" s="19"/>
      <c r="H8" s="19"/>
      <c r="I8" s="19"/>
      <c r="J8" s="20"/>
      <c r="K8" s="20"/>
      <c r="L8" s="20"/>
      <c r="M8" s="21" t="str">
        <f aca="false">IF(K8="","",K8-L8)</f>
        <v/>
      </c>
      <c r="N8" s="22" t="str">
        <f aca="false">IFERROR(L8/K8,"")</f>
        <v/>
      </c>
      <c r="O8" s="23"/>
      <c r="P8" s="19"/>
      <c r="Q8" s="20"/>
      <c r="R8" s="20"/>
      <c r="S8" s="20"/>
      <c r="T8" s="20"/>
      <c r="U8" s="21" t="str">
        <f aca="false">IF(T8="","",T8*(1-VacancyPct))</f>
        <v/>
      </c>
      <c r="V8" s="20"/>
      <c r="W8" s="21" t="str">
        <f aca="false">IF(T8="","",T8*MgmtPct)</f>
        <v/>
      </c>
      <c r="X8" s="21" t="str">
        <f aca="false">IF(T8="","",U8-Q8-R8-S8-V8-W8)</f>
        <v/>
      </c>
      <c r="Y8" s="21" t="str">
        <f aca="false">IF(T8="","",(U8-R8-S8-V8-W8)*12)</f>
        <v/>
      </c>
      <c r="Z8" s="22" t="str">
        <f aca="false">IFERROR(Y8/K8,"")</f>
        <v/>
      </c>
      <c r="AA8" s="18" t="str">
        <f aca="false">IF(O8="","",IF(AND(O8-MarketRate30&gt;=0.005,(1-N8)&gt;=MinEquityPct),"Consider Refi",IF(O8-MarketRate30&lt;0.005,"Rate already low","Build equity first")))</f>
        <v/>
      </c>
      <c r="AB8" s="19"/>
    </row>
    <row r="9" customFormat="false" ht="21.75" hidden="false" customHeight="true" outlineLevel="0" collapsed="false">
      <c r="A9" s="24" t="n">
        <v>6</v>
      </c>
      <c r="B9" s="25"/>
      <c r="C9" s="25"/>
      <c r="D9" s="25"/>
      <c r="E9" s="25"/>
      <c r="F9" s="25"/>
      <c r="G9" s="25"/>
      <c r="H9" s="25"/>
      <c r="I9" s="25"/>
      <c r="J9" s="26"/>
      <c r="K9" s="26"/>
      <c r="L9" s="26"/>
      <c r="M9" s="27" t="str">
        <f aca="false">IF(K9="","",K9-L9)</f>
        <v/>
      </c>
      <c r="N9" s="28" t="str">
        <f aca="false">IFERROR(L9/K9,"")</f>
        <v/>
      </c>
      <c r="O9" s="29"/>
      <c r="P9" s="25"/>
      <c r="Q9" s="26"/>
      <c r="R9" s="26"/>
      <c r="S9" s="26"/>
      <c r="T9" s="26"/>
      <c r="U9" s="27" t="str">
        <f aca="false">IF(T9="","",T9*(1-VacancyPct))</f>
        <v/>
      </c>
      <c r="V9" s="26"/>
      <c r="W9" s="27" t="str">
        <f aca="false">IF(T9="","",T9*MgmtPct)</f>
        <v/>
      </c>
      <c r="X9" s="27" t="str">
        <f aca="false">IF(T9="","",U9-Q9-R9-S9-V9-W9)</f>
        <v/>
      </c>
      <c r="Y9" s="27" t="str">
        <f aca="false">IF(T9="","",(U9-R9-S9-V9-W9)*12)</f>
        <v/>
      </c>
      <c r="Z9" s="28" t="str">
        <f aca="false">IFERROR(Y9/K9,"")</f>
        <v/>
      </c>
      <c r="AA9" s="24" t="str">
        <f aca="false">IF(O9="","",IF(AND(O9-MarketRate30&gt;=0.005,(1-N9)&gt;=MinEquityPct),"Consider Refi",IF(O9-MarketRate30&lt;0.005,"Rate already low","Build equity first")))</f>
        <v/>
      </c>
      <c r="AB9" s="25"/>
    </row>
    <row r="10" customFormat="false" ht="21.75" hidden="false" customHeight="true" outlineLevel="0" collapsed="false">
      <c r="A10" s="18" t="n">
        <v>7</v>
      </c>
      <c r="B10" s="19"/>
      <c r="C10" s="19"/>
      <c r="D10" s="19"/>
      <c r="E10" s="19"/>
      <c r="F10" s="19"/>
      <c r="G10" s="19"/>
      <c r="H10" s="19"/>
      <c r="I10" s="19"/>
      <c r="J10" s="20"/>
      <c r="K10" s="20"/>
      <c r="L10" s="20"/>
      <c r="M10" s="21" t="str">
        <f aca="false">IF(K10="","",K10-L10)</f>
        <v/>
      </c>
      <c r="N10" s="22" t="str">
        <f aca="false">IFERROR(L10/K10,"")</f>
        <v/>
      </c>
      <c r="O10" s="23"/>
      <c r="P10" s="19"/>
      <c r="Q10" s="20"/>
      <c r="R10" s="20"/>
      <c r="S10" s="20"/>
      <c r="T10" s="20"/>
      <c r="U10" s="21" t="str">
        <f aca="false">IF(T10="","",T10*(1-VacancyPct))</f>
        <v/>
      </c>
      <c r="V10" s="20"/>
      <c r="W10" s="21" t="str">
        <f aca="false">IF(T10="","",T10*MgmtPct)</f>
        <v/>
      </c>
      <c r="X10" s="21" t="str">
        <f aca="false">IF(T10="","",U10-Q10-R10-S10-V10-W10)</f>
        <v/>
      </c>
      <c r="Y10" s="21" t="str">
        <f aca="false">IF(T10="","",(U10-R10-S10-V10-W10)*12)</f>
        <v/>
      </c>
      <c r="Z10" s="22" t="str">
        <f aca="false">IFERROR(Y10/K10,"")</f>
        <v/>
      </c>
      <c r="AA10" s="18" t="str">
        <f aca="false">IF(O10="","",IF(AND(O10-MarketRate30&gt;=0.005,(1-N10)&gt;=MinEquityPct),"Consider Refi",IF(O10-MarketRate30&lt;0.005,"Rate already low","Build equity first")))</f>
        <v/>
      </c>
      <c r="AB10" s="19"/>
    </row>
    <row r="11" customFormat="false" ht="21.75" hidden="false" customHeight="true" outlineLevel="0" collapsed="false">
      <c r="A11" s="24" t="n">
        <v>8</v>
      </c>
      <c r="B11" s="25"/>
      <c r="C11" s="25"/>
      <c r="D11" s="25"/>
      <c r="E11" s="25"/>
      <c r="F11" s="25"/>
      <c r="G11" s="25"/>
      <c r="H11" s="25"/>
      <c r="I11" s="25"/>
      <c r="J11" s="26"/>
      <c r="K11" s="26"/>
      <c r="L11" s="26"/>
      <c r="M11" s="27" t="str">
        <f aca="false">IF(K11="","",K11-L11)</f>
        <v/>
      </c>
      <c r="N11" s="28" t="str">
        <f aca="false">IFERROR(L11/K11,"")</f>
        <v/>
      </c>
      <c r="O11" s="29"/>
      <c r="P11" s="25"/>
      <c r="Q11" s="26"/>
      <c r="R11" s="26"/>
      <c r="S11" s="26"/>
      <c r="T11" s="26"/>
      <c r="U11" s="27" t="str">
        <f aca="false">IF(T11="","",T11*(1-VacancyPct))</f>
        <v/>
      </c>
      <c r="V11" s="26"/>
      <c r="W11" s="27" t="str">
        <f aca="false">IF(T11="","",T11*MgmtPct)</f>
        <v/>
      </c>
      <c r="X11" s="27" t="str">
        <f aca="false">IF(T11="","",U11-Q11-R11-S11-V11-W11)</f>
        <v/>
      </c>
      <c r="Y11" s="27" t="str">
        <f aca="false">IF(T11="","",(U11-R11-S11-V11-W11)*12)</f>
        <v/>
      </c>
      <c r="Z11" s="28" t="str">
        <f aca="false">IFERROR(Y11/K11,"")</f>
        <v/>
      </c>
      <c r="AA11" s="24" t="str">
        <f aca="false">IF(O11="","",IF(AND(O11-MarketRate30&gt;=0.005,(1-N11)&gt;=MinEquityPct),"Consider Refi",IF(O11-MarketRate30&lt;0.005,"Rate already low","Build equity first")))</f>
        <v/>
      </c>
      <c r="AB11" s="25"/>
    </row>
    <row r="12" customFormat="false" ht="21.75" hidden="false" customHeight="true" outlineLevel="0" collapsed="false">
      <c r="A12" s="18" t="n">
        <v>9</v>
      </c>
      <c r="B12" s="19"/>
      <c r="C12" s="19"/>
      <c r="D12" s="19"/>
      <c r="E12" s="19"/>
      <c r="F12" s="19"/>
      <c r="G12" s="19"/>
      <c r="H12" s="19"/>
      <c r="I12" s="19"/>
      <c r="J12" s="20"/>
      <c r="K12" s="20"/>
      <c r="L12" s="20"/>
      <c r="M12" s="21" t="str">
        <f aca="false">IF(K12="","",K12-L12)</f>
        <v/>
      </c>
      <c r="N12" s="22" t="str">
        <f aca="false">IFERROR(L12/K12,"")</f>
        <v/>
      </c>
      <c r="O12" s="23"/>
      <c r="P12" s="19"/>
      <c r="Q12" s="20"/>
      <c r="R12" s="20"/>
      <c r="S12" s="20"/>
      <c r="T12" s="20"/>
      <c r="U12" s="21" t="str">
        <f aca="false">IF(T12="","",T12*(1-VacancyPct))</f>
        <v/>
      </c>
      <c r="V12" s="20"/>
      <c r="W12" s="21" t="str">
        <f aca="false">IF(T12="","",T12*MgmtPct)</f>
        <v/>
      </c>
      <c r="X12" s="21" t="str">
        <f aca="false">IF(T12="","",U12-Q12-R12-S12-V12-W12)</f>
        <v/>
      </c>
      <c r="Y12" s="21" t="str">
        <f aca="false">IF(T12="","",(U12-R12-S12-V12-W12)*12)</f>
        <v/>
      </c>
      <c r="Z12" s="22" t="str">
        <f aca="false">IFERROR(Y12/K12,"")</f>
        <v/>
      </c>
      <c r="AA12" s="18" t="str">
        <f aca="false">IF(O12="","",IF(AND(O12-MarketRate30&gt;=0.005,(1-N12)&gt;=MinEquityPct),"Consider Refi",IF(O12-MarketRate30&lt;0.005,"Rate already low","Build equity first")))</f>
        <v/>
      </c>
      <c r="AB12" s="19"/>
    </row>
    <row r="13" customFormat="false" ht="21.75" hidden="false" customHeight="true" outlineLevel="0" collapsed="false">
      <c r="A13" s="24" t="n">
        <v>10</v>
      </c>
      <c r="B13" s="25"/>
      <c r="C13" s="25"/>
      <c r="D13" s="25"/>
      <c r="E13" s="25"/>
      <c r="F13" s="25"/>
      <c r="G13" s="25"/>
      <c r="H13" s="25"/>
      <c r="I13" s="25"/>
      <c r="J13" s="26"/>
      <c r="K13" s="26"/>
      <c r="L13" s="26"/>
      <c r="M13" s="27" t="str">
        <f aca="false">IF(K13="","",K13-L13)</f>
        <v/>
      </c>
      <c r="N13" s="28" t="str">
        <f aca="false">IFERROR(L13/K13,"")</f>
        <v/>
      </c>
      <c r="O13" s="29"/>
      <c r="P13" s="25"/>
      <c r="Q13" s="26"/>
      <c r="R13" s="26"/>
      <c r="S13" s="26"/>
      <c r="T13" s="26"/>
      <c r="U13" s="27" t="str">
        <f aca="false">IF(T13="","",T13*(1-VacancyPct))</f>
        <v/>
      </c>
      <c r="V13" s="26"/>
      <c r="W13" s="27" t="str">
        <f aca="false">IF(T13="","",T13*MgmtPct)</f>
        <v/>
      </c>
      <c r="X13" s="27" t="str">
        <f aca="false">IF(T13="","",U13-Q13-R13-S13-V13-W13)</f>
        <v/>
      </c>
      <c r="Y13" s="27" t="str">
        <f aca="false">IF(T13="","",(U13-R13-S13-V13-W13)*12)</f>
        <v/>
      </c>
      <c r="Z13" s="28" t="str">
        <f aca="false">IFERROR(Y13/K13,"")</f>
        <v/>
      </c>
      <c r="AA13" s="24" t="str">
        <f aca="false">IF(O13="","",IF(AND(O13-MarketRate30&gt;=0.005,(1-N13)&gt;=MinEquityPct),"Consider Refi",IF(O13-MarketRate30&lt;0.005,"Rate already low","Build equity first")))</f>
        <v/>
      </c>
      <c r="AB13" s="25"/>
    </row>
    <row r="14" customFormat="false" ht="21.75" hidden="false" customHeight="true" outlineLevel="0" collapsed="false">
      <c r="A14" s="18" t="n">
        <v>11</v>
      </c>
      <c r="B14" s="19"/>
      <c r="C14" s="19"/>
      <c r="D14" s="19"/>
      <c r="E14" s="19"/>
      <c r="F14" s="19"/>
      <c r="G14" s="19"/>
      <c r="H14" s="19"/>
      <c r="I14" s="19"/>
      <c r="J14" s="20"/>
      <c r="K14" s="20"/>
      <c r="L14" s="20"/>
      <c r="M14" s="21" t="str">
        <f aca="false">IF(K14="","",K14-L14)</f>
        <v/>
      </c>
      <c r="N14" s="22" t="str">
        <f aca="false">IFERROR(L14/K14,"")</f>
        <v/>
      </c>
      <c r="O14" s="23"/>
      <c r="P14" s="19"/>
      <c r="Q14" s="20"/>
      <c r="R14" s="20"/>
      <c r="S14" s="20"/>
      <c r="T14" s="20"/>
      <c r="U14" s="21" t="str">
        <f aca="false">IF(T14="","",T14*(1-VacancyPct))</f>
        <v/>
      </c>
      <c r="V14" s="20"/>
      <c r="W14" s="21" t="str">
        <f aca="false">IF(T14="","",T14*MgmtPct)</f>
        <v/>
      </c>
      <c r="X14" s="21" t="str">
        <f aca="false">IF(T14="","",U14-Q14-R14-S14-V14-W14)</f>
        <v/>
      </c>
      <c r="Y14" s="21" t="str">
        <f aca="false">IF(T14="","",(U14-R14-S14-V14-W14)*12)</f>
        <v/>
      </c>
      <c r="Z14" s="22" t="str">
        <f aca="false">IFERROR(Y14/K14,"")</f>
        <v/>
      </c>
      <c r="AA14" s="18" t="str">
        <f aca="false">IF(O14="","",IF(AND(O14-MarketRate30&gt;=0.005,(1-N14)&gt;=MinEquityPct),"Consider Refi",IF(O14-MarketRate30&lt;0.005,"Rate already low","Build equity first")))</f>
        <v/>
      </c>
      <c r="AB14" s="19"/>
    </row>
    <row r="15" customFormat="false" ht="21.75" hidden="false" customHeight="true" outlineLevel="0" collapsed="false">
      <c r="A15" s="24" t="n">
        <v>12</v>
      </c>
      <c r="B15" s="25"/>
      <c r="C15" s="25"/>
      <c r="D15" s="25"/>
      <c r="E15" s="25"/>
      <c r="F15" s="25"/>
      <c r="G15" s="25"/>
      <c r="H15" s="25"/>
      <c r="I15" s="25"/>
      <c r="J15" s="26"/>
      <c r="K15" s="26"/>
      <c r="L15" s="26"/>
      <c r="M15" s="27" t="str">
        <f aca="false">IF(K15="","",K15-L15)</f>
        <v/>
      </c>
      <c r="N15" s="28" t="str">
        <f aca="false">IFERROR(L15/K15,"")</f>
        <v/>
      </c>
      <c r="O15" s="29"/>
      <c r="P15" s="25"/>
      <c r="Q15" s="26"/>
      <c r="R15" s="26"/>
      <c r="S15" s="26"/>
      <c r="T15" s="26"/>
      <c r="U15" s="27" t="str">
        <f aca="false">IF(T15="","",T15*(1-VacancyPct))</f>
        <v/>
      </c>
      <c r="V15" s="26"/>
      <c r="W15" s="27" t="str">
        <f aca="false">IF(T15="","",T15*MgmtPct)</f>
        <v/>
      </c>
      <c r="X15" s="27" t="str">
        <f aca="false">IF(T15="","",U15-Q15-R15-S15-V15-W15)</f>
        <v/>
      </c>
      <c r="Y15" s="27" t="str">
        <f aca="false">IF(T15="","",(U15-R15-S15-V15-W15)*12)</f>
        <v/>
      </c>
      <c r="Z15" s="28" t="str">
        <f aca="false">IFERROR(Y15/K15,"")</f>
        <v/>
      </c>
      <c r="AA15" s="24" t="str">
        <f aca="false">IF(O15="","",IF(AND(O15-MarketRate30&gt;=0.005,(1-N15)&gt;=MinEquityPct),"Consider Refi",IF(O15-MarketRate30&lt;0.005,"Rate already low","Build equity first")))</f>
        <v/>
      </c>
      <c r="AB15" s="25"/>
    </row>
    <row r="16" customFormat="false" ht="21.75" hidden="false" customHeight="true" outlineLevel="0" collapsed="false">
      <c r="A16" s="18" t="n">
        <v>13</v>
      </c>
      <c r="B16" s="19"/>
      <c r="C16" s="19"/>
      <c r="D16" s="19"/>
      <c r="E16" s="19"/>
      <c r="F16" s="19"/>
      <c r="G16" s="19"/>
      <c r="H16" s="19"/>
      <c r="I16" s="19"/>
      <c r="J16" s="20"/>
      <c r="K16" s="20"/>
      <c r="L16" s="20"/>
      <c r="M16" s="21" t="str">
        <f aca="false">IF(K16="","",K16-L16)</f>
        <v/>
      </c>
      <c r="N16" s="22" t="str">
        <f aca="false">IFERROR(L16/K16,"")</f>
        <v/>
      </c>
      <c r="O16" s="23"/>
      <c r="P16" s="19"/>
      <c r="Q16" s="20"/>
      <c r="R16" s="20"/>
      <c r="S16" s="20"/>
      <c r="T16" s="20"/>
      <c r="U16" s="21" t="str">
        <f aca="false">IF(T16="","",T16*(1-VacancyPct))</f>
        <v/>
      </c>
      <c r="V16" s="20"/>
      <c r="W16" s="21" t="str">
        <f aca="false">IF(T16="","",T16*MgmtPct)</f>
        <v/>
      </c>
      <c r="X16" s="21" t="str">
        <f aca="false">IF(T16="","",U16-Q16-R16-S16-V16-W16)</f>
        <v/>
      </c>
      <c r="Y16" s="21" t="str">
        <f aca="false">IF(T16="","",(U16-R16-S16-V16-W16)*12)</f>
        <v/>
      </c>
      <c r="Z16" s="22" t="str">
        <f aca="false">IFERROR(Y16/K16,"")</f>
        <v/>
      </c>
      <c r="AA16" s="18" t="str">
        <f aca="false">IF(O16="","",IF(AND(O16-MarketRate30&gt;=0.005,(1-N16)&gt;=MinEquityPct),"Consider Refi",IF(O16-MarketRate30&lt;0.005,"Rate already low","Build equity first")))</f>
        <v/>
      </c>
      <c r="AB16" s="19"/>
    </row>
    <row r="17" customFormat="false" ht="21.75" hidden="false" customHeight="true" outlineLevel="0" collapsed="false">
      <c r="A17" s="24" t="n">
        <v>14</v>
      </c>
      <c r="B17" s="25"/>
      <c r="C17" s="25"/>
      <c r="D17" s="25"/>
      <c r="E17" s="25"/>
      <c r="F17" s="25"/>
      <c r="G17" s="25"/>
      <c r="H17" s="25"/>
      <c r="I17" s="25"/>
      <c r="J17" s="26"/>
      <c r="K17" s="26"/>
      <c r="L17" s="26"/>
      <c r="M17" s="27" t="str">
        <f aca="false">IF(K17="","",K17-L17)</f>
        <v/>
      </c>
      <c r="N17" s="28" t="str">
        <f aca="false">IFERROR(L17/K17,"")</f>
        <v/>
      </c>
      <c r="O17" s="29"/>
      <c r="P17" s="25"/>
      <c r="Q17" s="26"/>
      <c r="R17" s="26"/>
      <c r="S17" s="26"/>
      <c r="T17" s="26"/>
      <c r="U17" s="27" t="str">
        <f aca="false">IF(T17="","",T17*(1-VacancyPct))</f>
        <v/>
      </c>
      <c r="V17" s="26"/>
      <c r="W17" s="27" t="str">
        <f aca="false">IF(T17="","",T17*MgmtPct)</f>
        <v/>
      </c>
      <c r="X17" s="27" t="str">
        <f aca="false">IF(T17="","",U17-Q17-R17-S17-V17-W17)</f>
        <v/>
      </c>
      <c r="Y17" s="27" t="str">
        <f aca="false">IF(T17="","",(U17-R17-S17-V17-W17)*12)</f>
        <v/>
      </c>
      <c r="Z17" s="28" t="str">
        <f aca="false">IFERROR(Y17/K17,"")</f>
        <v/>
      </c>
      <c r="AA17" s="24" t="str">
        <f aca="false">IF(O17="","",IF(AND(O17-MarketRate30&gt;=0.005,(1-N17)&gt;=MinEquityPct),"Consider Refi",IF(O17-MarketRate30&lt;0.005,"Rate already low","Build equity first")))</f>
        <v/>
      </c>
      <c r="AB17" s="25"/>
    </row>
    <row r="18" customFormat="false" ht="21.75" hidden="false" customHeight="true" outlineLevel="0" collapsed="false">
      <c r="A18" s="18" t="n">
        <v>15</v>
      </c>
      <c r="B18" s="19"/>
      <c r="C18" s="19"/>
      <c r="D18" s="19"/>
      <c r="E18" s="19"/>
      <c r="F18" s="19"/>
      <c r="G18" s="19"/>
      <c r="H18" s="19"/>
      <c r="I18" s="19"/>
      <c r="J18" s="20"/>
      <c r="K18" s="20"/>
      <c r="L18" s="20"/>
      <c r="M18" s="21" t="str">
        <f aca="false">IF(K18="","",K18-L18)</f>
        <v/>
      </c>
      <c r="N18" s="22" t="str">
        <f aca="false">IFERROR(L18/K18,"")</f>
        <v/>
      </c>
      <c r="O18" s="23"/>
      <c r="P18" s="19"/>
      <c r="Q18" s="20"/>
      <c r="R18" s="20"/>
      <c r="S18" s="20"/>
      <c r="T18" s="20"/>
      <c r="U18" s="21" t="str">
        <f aca="false">IF(T18="","",T18*(1-VacancyPct))</f>
        <v/>
      </c>
      <c r="V18" s="20"/>
      <c r="W18" s="21" t="str">
        <f aca="false">IF(T18="","",T18*MgmtPct)</f>
        <v/>
      </c>
      <c r="X18" s="21" t="str">
        <f aca="false">IF(T18="","",U18-Q18-R18-S18-V18-W18)</f>
        <v/>
      </c>
      <c r="Y18" s="21" t="str">
        <f aca="false">IF(T18="","",(U18-R18-S18-V18-W18)*12)</f>
        <v/>
      </c>
      <c r="Z18" s="22" t="str">
        <f aca="false">IFERROR(Y18/K18,"")</f>
        <v/>
      </c>
      <c r="AA18" s="18" t="str">
        <f aca="false">IF(O18="","",IF(AND(O18-MarketRate30&gt;=0.005,(1-N18)&gt;=MinEquityPct),"Consider Refi",IF(O18-MarketRate30&lt;0.005,"Rate already low","Build equity first")))</f>
        <v/>
      </c>
      <c r="AB18" s="19"/>
    </row>
    <row r="19" customFormat="false" ht="21.75" hidden="false" customHeight="true" outlineLevel="0" collapsed="false">
      <c r="A19" s="24" t="n">
        <v>16</v>
      </c>
      <c r="B19" s="25"/>
      <c r="C19" s="25"/>
      <c r="D19" s="25"/>
      <c r="E19" s="25"/>
      <c r="F19" s="25"/>
      <c r="G19" s="25"/>
      <c r="H19" s="25"/>
      <c r="I19" s="25"/>
      <c r="J19" s="26"/>
      <c r="K19" s="26"/>
      <c r="L19" s="26"/>
      <c r="M19" s="27" t="str">
        <f aca="false">IF(K19="","",K19-L19)</f>
        <v/>
      </c>
      <c r="N19" s="28" t="str">
        <f aca="false">IFERROR(L19/K19,"")</f>
        <v/>
      </c>
      <c r="O19" s="29"/>
      <c r="P19" s="25"/>
      <c r="Q19" s="26"/>
      <c r="R19" s="26"/>
      <c r="S19" s="26"/>
      <c r="T19" s="26"/>
      <c r="U19" s="27" t="str">
        <f aca="false">IF(T19="","",T19*(1-VacancyPct))</f>
        <v/>
      </c>
      <c r="V19" s="26"/>
      <c r="W19" s="27" t="str">
        <f aca="false">IF(T19="","",T19*MgmtPct)</f>
        <v/>
      </c>
      <c r="X19" s="27" t="str">
        <f aca="false">IF(T19="","",U19-Q19-R19-S19-V19-W19)</f>
        <v/>
      </c>
      <c r="Y19" s="27" t="str">
        <f aca="false">IF(T19="","",(U19-R19-S19-V19-W19)*12)</f>
        <v/>
      </c>
      <c r="Z19" s="28" t="str">
        <f aca="false">IFERROR(Y19/K19,"")</f>
        <v/>
      </c>
      <c r="AA19" s="24" t="str">
        <f aca="false">IF(O19="","",IF(AND(O19-MarketRate30&gt;=0.005,(1-N19)&gt;=MinEquityPct),"Consider Refi",IF(O19-MarketRate30&lt;0.005,"Rate already low","Build equity first")))</f>
        <v/>
      </c>
      <c r="AB19" s="25"/>
    </row>
    <row r="20" customFormat="false" ht="21.75" hidden="false" customHeight="true" outlineLevel="0" collapsed="false">
      <c r="A20" s="18" t="n">
        <v>17</v>
      </c>
      <c r="B20" s="19"/>
      <c r="C20" s="19"/>
      <c r="D20" s="19"/>
      <c r="E20" s="19"/>
      <c r="F20" s="19"/>
      <c r="G20" s="19"/>
      <c r="H20" s="19"/>
      <c r="I20" s="19"/>
      <c r="J20" s="20"/>
      <c r="K20" s="20"/>
      <c r="L20" s="20"/>
      <c r="M20" s="21" t="str">
        <f aca="false">IF(K20="","",K20-L20)</f>
        <v/>
      </c>
      <c r="N20" s="22" t="str">
        <f aca="false">IFERROR(L20/K20,"")</f>
        <v/>
      </c>
      <c r="O20" s="23"/>
      <c r="P20" s="19"/>
      <c r="Q20" s="20"/>
      <c r="R20" s="20"/>
      <c r="S20" s="20"/>
      <c r="T20" s="20"/>
      <c r="U20" s="21" t="str">
        <f aca="false">IF(T20="","",T20*(1-VacancyPct))</f>
        <v/>
      </c>
      <c r="V20" s="20"/>
      <c r="W20" s="21" t="str">
        <f aca="false">IF(T20="","",T20*MgmtPct)</f>
        <v/>
      </c>
      <c r="X20" s="21" t="str">
        <f aca="false">IF(T20="","",U20-Q20-R20-S20-V20-W20)</f>
        <v/>
      </c>
      <c r="Y20" s="21" t="str">
        <f aca="false">IF(T20="","",(U20-R20-S20-V20-W20)*12)</f>
        <v/>
      </c>
      <c r="Z20" s="22" t="str">
        <f aca="false">IFERROR(Y20/K20,"")</f>
        <v/>
      </c>
      <c r="AA20" s="18" t="str">
        <f aca="false">IF(O20="","",IF(AND(O20-MarketRate30&gt;=0.005,(1-N20)&gt;=MinEquityPct),"Consider Refi",IF(O20-MarketRate30&lt;0.005,"Rate already low","Build equity first")))</f>
        <v/>
      </c>
      <c r="AB20" s="19"/>
    </row>
    <row r="21" customFormat="false" ht="21.75" hidden="false" customHeight="true" outlineLevel="0" collapsed="false">
      <c r="A21" s="24" t="n">
        <v>18</v>
      </c>
      <c r="B21" s="25"/>
      <c r="C21" s="25"/>
      <c r="D21" s="25"/>
      <c r="E21" s="25"/>
      <c r="F21" s="25"/>
      <c r="G21" s="25"/>
      <c r="H21" s="25"/>
      <c r="I21" s="25"/>
      <c r="J21" s="26"/>
      <c r="K21" s="26"/>
      <c r="L21" s="26"/>
      <c r="M21" s="27" t="str">
        <f aca="false">IF(K21="","",K21-L21)</f>
        <v/>
      </c>
      <c r="N21" s="28" t="str">
        <f aca="false">IFERROR(L21/K21,"")</f>
        <v/>
      </c>
      <c r="O21" s="29"/>
      <c r="P21" s="25"/>
      <c r="Q21" s="26"/>
      <c r="R21" s="26"/>
      <c r="S21" s="26"/>
      <c r="T21" s="26"/>
      <c r="U21" s="27" t="str">
        <f aca="false">IF(T21="","",T21*(1-VacancyPct))</f>
        <v/>
      </c>
      <c r="V21" s="26"/>
      <c r="W21" s="27" t="str">
        <f aca="false">IF(T21="","",T21*MgmtPct)</f>
        <v/>
      </c>
      <c r="X21" s="27" t="str">
        <f aca="false">IF(T21="","",U21-Q21-R21-S21-V21-W21)</f>
        <v/>
      </c>
      <c r="Y21" s="27" t="str">
        <f aca="false">IF(T21="","",(U21-R21-S21-V21-W21)*12)</f>
        <v/>
      </c>
      <c r="Z21" s="28" t="str">
        <f aca="false">IFERROR(Y21/K21,"")</f>
        <v/>
      </c>
      <c r="AA21" s="24" t="str">
        <f aca="false">IF(O21="","",IF(AND(O21-MarketRate30&gt;=0.005,(1-N21)&gt;=MinEquityPct),"Consider Refi",IF(O21-MarketRate30&lt;0.005,"Rate already low","Build equity first")))</f>
        <v/>
      </c>
      <c r="AB21" s="25"/>
    </row>
    <row r="22" customFormat="false" ht="21.75" hidden="false" customHeight="true" outlineLevel="0" collapsed="false">
      <c r="A22" s="18" t="n">
        <v>19</v>
      </c>
      <c r="B22" s="19"/>
      <c r="C22" s="19"/>
      <c r="D22" s="19"/>
      <c r="E22" s="19"/>
      <c r="F22" s="19"/>
      <c r="G22" s="19"/>
      <c r="H22" s="19"/>
      <c r="I22" s="19"/>
      <c r="J22" s="20"/>
      <c r="K22" s="20"/>
      <c r="L22" s="20"/>
      <c r="M22" s="21" t="str">
        <f aca="false">IF(K22="","",K22-L22)</f>
        <v/>
      </c>
      <c r="N22" s="22" t="str">
        <f aca="false">IFERROR(L22/K22,"")</f>
        <v/>
      </c>
      <c r="O22" s="23"/>
      <c r="P22" s="19"/>
      <c r="Q22" s="20"/>
      <c r="R22" s="20"/>
      <c r="S22" s="20"/>
      <c r="T22" s="20"/>
      <c r="U22" s="21" t="str">
        <f aca="false">IF(T22="","",T22*(1-VacancyPct))</f>
        <v/>
      </c>
      <c r="V22" s="20"/>
      <c r="W22" s="21" t="str">
        <f aca="false">IF(T22="","",T22*MgmtPct)</f>
        <v/>
      </c>
      <c r="X22" s="21" t="str">
        <f aca="false">IF(T22="","",U22-Q22-R22-S22-V22-W22)</f>
        <v/>
      </c>
      <c r="Y22" s="21" t="str">
        <f aca="false">IF(T22="","",(U22-R22-S22-V22-W22)*12)</f>
        <v/>
      </c>
      <c r="Z22" s="22" t="str">
        <f aca="false">IFERROR(Y22/K22,"")</f>
        <v/>
      </c>
      <c r="AA22" s="18" t="str">
        <f aca="false">IF(O22="","",IF(AND(O22-MarketRate30&gt;=0.005,(1-N22)&gt;=MinEquityPct),"Consider Refi",IF(O22-MarketRate30&lt;0.005,"Rate already low","Build equity first")))</f>
        <v/>
      </c>
      <c r="AB22" s="19"/>
    </row>
    <row r="23" customFormat="false" ht="21.75" hidden="false" customHeight="true" outlineLevel="0" collapsed="false">
      <c r="A23" s="24" t="n">
        <v>20</v>
      </c>
      <c r="B23" s="25"/>
      <c r="C23" s="25"/>
      <c r="D23" s="25"/>
      <c r="E23" s="25"/>
      <c r="F23" s="25"/>
      <c r="G23" s="25"/>
      <c r="H23" s="25"/>
      <c r="I23" s="25"/>
      <c r="J23" s="26"/>
      <c r="K23" s="26"/>
      <c r="L23" s="26"/>
      <c r="M23" s="27" t="str">
        <f aca="false">IF(K23="","",K23-L23)</f>
        <v/>
      </c>
      <c r="N23" s="28" t="str">
        <f aca="false">IFERROR(L23/K23,"")</f>
        <v/>
      </c>
      <c r="O23" s="29"/>
      <c r="P23" s="25"/>
      <c r="Q23" s="26"/>
      <c r="R23" s="26"/>
      <c r="S23" s="26"/>
      <c r="T23" s="26"/>
      <c r="U23" s="27" t="str">
        <f aca="false">IF(T23="","",T23*(1-VacancyPct))</f>
        <v/>
      </c>
      <c r="V23" s="26"/>
      <c r="W23" s="27" t="str">
        <f aca="false">IF(T23="","",T23*MgmtPct)</f>
        <v/>
      </c>
      <c r="X23" s="27" t="str">
        <f aca="false">IF(T23="","",U23-Q23-R23-S23-V23-W23)</f>
        <v/>
      </c>
      <c r="Y23" s="27" t="str">
        <f aca="false">IF(T23="","",(U23-R23-S23-V23-W23)*12)</f>
        <v/>
      </c>
      <c r="Z23" s="28" t="str">
        <f aca="false">IFERROR(Y23/K23,"")</f>
        <v/>
      </c>
      <c r="AA23" s="24" t="str">
        <f aca="false">IF(O23="","",IF(AND(O23-MarketRate30&gt;=0.005,(1-N23)&gt;=MinEquityPct),"Consider Refi",IF(O23-MarketRate30&lt;0.005,"Rate already low","Build equity first")))</f>
        <v/>
      </c>
      <c r="AB23" s="25"/>
    </row>
    <row r="24" customFormat="false" ht="21.75" hidden="false" customHeight="true" outlineLevel="0" collapsed="false">
      <c r="A24" s="18" t="n">
        <v>21</v>
      </c>
      <c r="B24" s="19"/>
      <c r="C24" s="19"/>
      <c r="D24" s="19"/>
      <c r="E24" s="19"/>
      <c r="F24" s="19"/>
      <c r="G24" s="19"/>
      <c r="H24" s="19"/>
      <c r="I24" s="19"/>
      <c r="J24" s="20"/>
      <c r="K24" s="20"/>
      <c r="L24" s="20"/>
      <c r="M24" s="21" t="str">
        <f aca="false">IF(K24="","",K24-L24)</f>
        <v/>
      </c>
      <c r="N24" s="22" t="str">
        <f aca="false">IFERROR(L24/K24,"")</f>
        <v/>
      </c>
      <c r="O24" s="23"/>
      <c r="P24" s="19"/>
      <c r="Q24" s="20"/>
      <c r="R24" s="20"/>
      <c r="S24" s="20"/>
      <c r="T24" s="20"/>
      <c r="U24" s="21" t="str">
        <f aca="false">IF(T24="","",T24*(1-VacancyPct))</f>
        <v/>
      </c>
      <c r="V24" s="20"/>
      <c r="W24" s="21" t="str">
        <f aca="false">IF(T24="","",T24*MgmtPct)</f>
        <v/>
      </c>
      <c r="X24" s="21" t="str">
        <f aca="false">IF(T24="","",U24-Q24-R24-S24-V24-W24)</f>
        <v/>
      </c>
      <c r="Y24" s="21" t="str">
        <f aca="false">IF(T24="","",(U24-R24-S24-V24-W24)*12)</f>
        <v/>
      </c>
      <c r="Z24" s="22" t="str">
        <f aca="false">IFERROR(Y24/K24,"")</f>
        <v/>
      </c>
      <c r="AA24" s="18" t="str">
        <f aca="false">IF(O24="","",IF(AND(O24-MarketRate30&gt;=0.005,(1-N24)&gt;=MinEquityPct),"Consider Refi",IF(O24-MarketRate30&lt;0.005,"Rate already low","Build equity first")))</f>
        <v/>
      </c>
      <c r="AB24" s="19"/>
    </row>
    <row r="25" customFormat="false" ht="21.75" hidden="false" customHeight="true" outlineLevel="0" collapsed="false">
      <c r="A25" s="24" t="n">
        <v>22</v>
      </c>
      <c r="B25" s="25"/>
      <c r="C25" s="25"/>
      <c r="D25" s="25"/>
      <c r="E25" s="25"/>
      <c r="F25" s="25"/>
      <c r="G25" s="25"/>
      <c r="H25" s="25"/>
      <c r="I25" s="25"/>
      <c r="J25" s="26"/>
      <c r="K25" s="26"/>
      <c r="L25" s="26"/>
      <c r="M25" s="27" t="str">
        <f aca="false">IF(K25="","",K25-L25)</f>
        <v/>
      </c>
      <c r="N25" s="28" t="str">
        <f aca="false">IFERROR(L25/K25,"")</f>
        <v/>
      </c>
      <c r="O25" s="29"/>
      <c r="P25" s="25"/>
      <c r="Q25" s="26"/>
      <c r="R25" s="26"/>
      <c r="S25" s="26"/>
      <c r="T25" s="26"/>
      <c r="U25" s="27" t="str">
        <f aca="false">IF(T25="","",T25*(1-VacancyPct))</f>
        <v/>
      </c>
      <c r="V25" s="26"/>
      <c r="W25" s="27" t="str">
        <f aca="false">IF(T25="","",T25*MgmtPct)</f>
        <v/>
      </c>
      <c r="X25" s="27" t="str">
        <f aca="false">IF(T25="","",U25-Q25-R25-S25-V25-W25)</f>
        <v/>
      </c>
      <c r="Y25" s="27" t="str">
        <f aca="false">IF(T25="","",(U25-R25-S25-V25-W25)*12)</f>
        <v/>
      </c>
      <c r="Z25" s="28" t="str">
        <f aca="false">IFERROR(Y25/K25,"")</f>
        <v/>
      </c>
      <c r="AA25" s="24" t="str">
        <f aca="false">IF(O25="","",IF(AND(O25-MarketRate30&gt;=0.005,(1-N25)&gt;=MinEquityPct),"Consider Refi",IF(O25-MarketRate30&lt;0.005,"Rate already low","Build equity first")))</f>
        <v/>
      </c>
      <c r="AB25" s="25"/>
    </row>
    <row r="26" customFormat="false" ht="21.75" hidden="false" customHeight="true" outlineLevel="0" collapsed="false">
      <c r="A26" s="18" t="n">
        <v>23</v>
      </c>
      <c r="B26" s="19"/>
      <c r="C26" s="19"/>
      <c r="D26" s="19"/>
      <c r="E26" s="19"/>
      <c r="F26" s="19"/>
      <c r="G26" s="19"/>
      <c r="H26" s="19"/>
      <c r="I26" s="19"/>
      <c r="J26" s="20"/>
      <c r="K26" s="20"/>
      <c r="L26" s="20"/>
      <c r="M26" s="21" t="str">
        <f aca="false">IF(K26="","",K26-L26)</f>
        <v/>
      </c>
      <c r="N26" s="22" t="str">
        <f aca="false">IFERROR(L26/K26,"")</f>
        <v/>
      </c>
      <c r="O26" s="23"/>
      <c r="P26" s="19"/>
      <c r="Q26" s="20"/>
      <c r="R26" s="20"/>
      <c r="S26" s="20"/>
      <c r="T26" s="20"/>
      <c r="U26" s="21" t="str">
        <f aca="false">IF(T26="","",T26*(1-VacancyPct))</f>
        <v/>
      </c>
      <c r="V26" s="20"/>
      <c r="W26" s="21" t="str">
        <f aca="false">IF(T26="","",T26*MgmtPct)</f>
        <v/>
      </c>
      <c r="X26" s="21" t="str">
        <f aca="false">IF(T26="","",U26-Q26-R26-S26-V26-W26)</f>
        <v/>
      </c>
      <c r="Y26" s="21" t="str">
        <f aca="false">IF(T26="","",(U26-R26-S26-V26-W26)*12)</f>
        <v/>
      </c>
      <c r="Z26" s="22" t="str">
        <f aca="false">IFERROR(Y26/K26,"")</f>
        <v/>
      </c>
      <c r="AA26" s="18" t="str">
        <f aca="false">IF(O26="","",IF(AND(O26-MarketRate30&gt;=0.005,(1-N26)&gt;=MinEquityPct),"Consider Refi",IF(O26-MarketRate30&lt;0.005,"Rate already low","Build equity first")))</f>
        <v/>
      </c>
      <c r="AB26" s="19"/>
    </row>
    <row r="27" customFormat="false" ht="21.75" hidden="false" customHeight="true" outlineLevel="0" collapsed="false">
      <c r="A27" s="24" t="n">
        <v>24</v>
      </c>
      <c r="B27" s="25"/>
      <c r="C27" s="25"/>
      <c r="D27" s="25"/>
      <c r="E27" s="25"/>
      <c r="F27" s="25"/>
      <c r="G27" s="25"/>
      <c r="H27" s="25"/>
      <c r="I27" s="25"/>
      <c r="J27" s="26"/>
      <c r="K27" s="26"/>
      <c r="L27" s="26"/>
      <c r="M27" s="27" t="str">
        <f aca="false">IF(K27="","",K27-L27)</f>
        <v/>
      </c>
      <c r="N27" s="28" t="str">
        <f aca="false">IFERROR(L27/K27,"")</f>
        <v/>
      </c>
      <c r="O27" s="29"/>
      <c r="P27" s="25"/>
      <c r="Q27" s="26"/>
      <c r="R27" s="26"/>
      <c r="S27" s="26"/>
      <c r="T27" s="26"/>
      <c r="U27" s="27" t="str">
        <f aca="false">IF(T27="","",T27*(1-VacancyPct))</f>
        <v/>
      </c>
      <c r="V27" s="26"/>
      <c r="W27" s="27" t="str">
        <f aca="false">IF(T27="","",T27*MgmtPct)</f>
        <v/>
      </c>
      <c r="X27" s="27" t="str">
        <f aca="false">IF(T27="","",U27-Q27-R27-S27-V27-W27)</f>
        <v/>
      </c>
      <c r="Y27" s="27" t="str">
        <f aca="false">IF(T27="","",(U27-R27-S27-V27-W27)*12)</f>
        <v/>
      </c>
      <c r="Z27" s="28" t="str">
        <f aca="false">IFERROR(Y27/K27,"")</f>
        <v/>
      </c>
      <c r="AA27" s="24" t="str">
        <f aca="false">IF(O27="","",IF(AND(O27-MarketRate30&gt;=0.005,(1-N27)&gt;=MinEquityPct),"Consider Refi",IF(O27-MarketRate30&lt;0.005,"Rate already low","Build equity first")))</f>
        <v/>
      </c>
      <c r="AB27" s="25"/>
    </row>
    <row r="28" customFormat="false" ht="21.75" hidden="false" customHeight="true" outlineLevel="0" collapsed="false">
      <c r="A28" s="18" t="n">
        <v>25</v>
      </c>
      <c r="B28" s="19"/>
      <c r="C28" s="19"/>
      <c r="D28" s="19"/>
      <c r="E28" s="19"/>
      <c r="F28" s="19"/>
      <c r="G28" s="19"/>
      <c r="H28" s="19"/>
      <c r="I28" s="19"/>
      <c r="J28" s="20"/>
      <c r="K28" s="20"/>
      <c r="L28" s="20"/>
      <c r="M28" s="21" t="str">
        <f aca="false">IF(K28="","",K28-L28)</f>
        <v/>
      </c>
      <c r="N28" s="22" t="str">
        <f aca="false">IFERROR(L28/K28,"")</f>
        <v/>
      </c>
      <c r="O28" s="23"/>
      <c r="P28" s="19"/>
      <c r="Q28" s="20"/>
      <c r="R28" s="20"/>
      <c r="S28" s="20"/>
      <c r="T28" s="20"/>
      <c r="U28" s="21" t="str">
        <f aca="false">IF(T28="","",T28*(1-VacancyPct))</f>
        <v/>
      </c>
      <c r="V28" s="20"/>
      <c r="W28" s="21" t="str">
        <f aca="false">IF(T28="","",T28*MgmtPct)</f>
        <v/>
      </c>
      <c r="X28" s="21" t="str">
        <f aca="false">IF(T28="","",U28-Q28-R28-S28-V28-W28)</f>
        <v/>
      </c>
      <c r="Y28" s="21" t="str">
        <f aca="false">IF(T28="","",(U28-R28-S28-V28-W28)*12)</f>
        <v/>
      </c>
      <c r="Z28" s="22" t="str">
        <f aca="false">IFERROR(Y28/K28,"")</f>
        <v/>
      </c>
      <c r="AA28" s="18" t="str">
        <f aca="false">IF(O28="","",IF(AND(O28-MarketRate30&gt;=0.005,(1-N28)&gt;=MinEquityPct),"Consider Refi",IF(O28-MarketRate30&lt;0.005,"Rate already low","Build equity first")))</f>
        <v/>
      </c>
      <c r="AB28" s="19"/>
    </row>
    <row r="29" customFormat="false" ht="21.75" hidden="false" customHeight="true" outlineLevel="0" collapsed="false">
      <c r="A29" s="24" t="n">
        <v>26</v>
      </c>
      <c r="B29" s="25"/>
      <c r="C29" s="25"/>
      <c r="D29" s="25"/>
      <c r="E29" s="25"/>
      <c r="F29" s="25"/>
      <c r="G29" s="25"/>
      <c r="H29" s="25"/>
      <c r="I29" s="25"/>
      <c r="J29" s="26"/>
      <c r="K29" s="26"/>
      <c r="L29" s="26"/>
      <c r="M29" s="27" t="str">
        <f aca="false">IF(K29="","",K29-L29)</f>
        <v/>
      </c>
      <c r="N29" s="28" t="str">
        <f aca="false">IFERROR(L29/K29,"")</f>
        <v/>
      </c>
      <c r="O29" s="29"/>
      <c r="P29" s="25"/>
      <c r="Q29" s="26"/>
      <c r="R29" s="26"/>
      <c r="S29" s="26"/>
      <c r="T29" s="26"/>
      <c r="U29" s="27" t="str">
        <f aca="false">IF(T29="","",T29*(1-VacancyPct))</f>
        <v/>
      </c>
      <c r="V29" s="26"/>
      <c r="W29" s="27" t="str">
        <f aca="false">IF(T29="","",T29*MgmtPct)</f>
        <v/>
      </c>
      <c r="X29" s="27" t="str">
        <f aca="false">IF(T29="","",U29-Q29-R29-S29-V29-W29)</f>
        <v/>
      </c>
      <c r="Y29" s="27" t="str">
        <f aca="false">IF(T29="","",(U29-R29-S29-V29-W29)*12)</f>
        <v/>
      </c>
      <c r="Z29" s="28" t="str">
        <f aca="false">IFERROR(Y29/K29,"")</f>
        <v/>
      </c>
      <c r="AA29" s="24" t="str">
        <f aca="false">IF(O29="","",IF(AND(O29-MarketRate30&gt;=0.005,(1-N29)&gt;=MinEquityPct),"Consider Refi",IF(O29-MarketRate30&lt;0.005,"Rate already low","Build equity first")))</f>
        <v/>
      </c>
      <c r="AB29" s="25"/>
    </row>
    <row r="31" customFormat="false" ht="24" hidden="false" customHeight="true" outlineLevel="0" collapsed="false">
      <c r="A31" s="30" t="s">
        <v>82</v>
      </c>
      <c r="B31" s="30"/>
      <c r="C31" s="30"/>
      <c r="D31" s="30"/>
      <c r="E31" s="30"/>
      <c r="F31" s="30"/>
    </row>
    <row r="32" customFormat="false" ht="15" hidden="false" customHeight="true" outlineLevel="0" collapsed="false">
      <c r="A32" s="31" t="s">
        <v>83</v>
      </c>
      <c r="B32" s="32" t="n">
        <f aca="false">SUMIF(K4:K29,"&gt;0")</f>
        <v>675000</v>
      </c>
    </row>
    <row r="33" customFormat="false" ht="15" hidden="false" customHeight="true" outlineLevel="0" collapsed="false">
      <c r="A33" s="31" t="s">
        <v>84</v>
      </c>
      <c r="B33" s="32" t="n">
        <f aca="false">SUMIF(L4:L29,"&gt;0")</f>
        <v>425000</v>
      </c>
    </row>
    <row r="34" customFormat="false" ht="15" hidden="false" customHeight="true" outlineLevel="0" collapsed="false">
      <c r="A34" s="31" t="s">
        <v>85</v>
      </c>
      <c r="B34" s="32" t="n">
        <f aca="false">B32-B33</f>
        <v>250000</v>
      </c>
    </row>
    <row r="35" customFormat="false" ht="15" hidden="false" customHeight="true" outlineLevel="0" collapsed="false">
      <c r="A35" s="31" t="s">
        <v>86</v>
      </c>
      <c r="B35" s="33" t="n">
        <f aca="false">IFERROR(B33/B32,0)</f>
        <v>0.62962962962963</v>
      </c>
    </row>
    <row r="36" customFormat="false" ht="15" hidden="false" customHeight="true" outlineLevel="0" collapsed="false">
      <c r="A36" s="31" t="s">
        <v>87</v>
      </c>
      <c r="B36" s="32" t="n">
        <f aca="false">SUM(X4:X29)</f>
        <v>443</v>
      </c>
    </row>
    <row r="37" customFormat="false" ht="15" hidden="false" customHeight="true" outlineLevel="0" collapsed="false">
      <c r="A37" s="31" t="s">
        <v>60</v>
      </c>
      <c r="B37" s="32" t="n">
        <f aca="false">SUM(Y4:Y29)</f>
        <v>42396</v>
      </c>
    </row>
    <row r="38" customFormat="false" ht="15" hidden="false" customHeight="true" outlineLevel="0" collapsed="false">
      <c r="A38" s="31" t="s">
        <v>88</v>
      </c>
      <c r="B38" s="33" t="n">
        <f aca="false">IFERROR(B37/B32,0)</f>
        <v>0.0628088888888889</v>
      </c>
    </row>
  </sheetData>
  <mergeCells count="2">
    <mergeCell ref="A1:AB1"/>
    <mergeCell ref="A31:F31"/>
  </mergeCells>
  <conditionalFormatting sqref="AA4:AA29">
    <cfRule type="cellIs" priority="2" operator="equal" aboveAverage="0" equalAverage="0" bottom="0" percent="0" rank="0" text="" dxfId="0">
      <formula>"Consider Refi"</formula>
    </cfRule>
    <cfRule type="cellIs" priority="3" operator="equal" aboveAverage="0" equalAverage="0" bottom="0" percent="0" rank="0" text="" dxfId="1">
      <formula>"Build equity first"</formula>
    </cfRule>
    <cfRule type="cellIs" priority="4" operator="equal" aboveAverage="0" equalAverage="0" bottom="0" percent="0" rank="0" text="" dxfId="2">
      <formula>"Rate already low"</formula>
    </cfRule>
  </conditionalFormatting>
  <conditionalFormatting sqref="X4:X29">
    <cfRule type="cellIs" priority="5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32"/>
  </cols>
  <sheetData>
    <row r="1" customFormat="false" ht="27.75" hidden="false" customHeight="true" outlineLevel="0" collapsed="false">
      <c r="A1" s="16" t="s">
        <v>89</v>
      </c>
      <c r="B1" s="16"/>
      <c r="C1" s="16"/>
      <c r="D1" s="16"/>
      <c r="E1" s="16"/>
      <c r="F1" s="16"/>
      <c r="G1" s="16"/>
      <c r="H1" s="16"/>
      <c r="I1" s="16"/>
    </row>
    <row r="3" customFormat="false" ht="30" hidden="false" customHeight="true" outlineLevel="0" collapsed="false">
      <c r="A3" s="17" t="s">
        <v>90</v>
      </c>
      <c r="B3" s="17" t="s">
        <v>91</v>
      </c>
      <c r="C3" s="17" t="s">
        <v>92</v>
      </c>
      <c r="D3" s="17" t="s">
        <v>93</v>
      </c>
      <c r="E3" s="17" t="s">
        <v>94</v>
      </c>
      <c r="F3" s="17" t="s">
        <v>95</v>
      </c>
      <c r="G3" s="17" t="s">
        <v>96</v>
      </c>
      <c r="H3" s="17" t="s">
        <v>97</v>
      </c>
      <c r="I3" s="17" t="s">
        <v>63</v>
      </c>
    </row>
    <row r="4" customFormat="false" ht="21.75" hidden="false" customHeight="true" outlineLevel="0" collapsed="false">
      <c r="A4" s="34" t="s">
        <v>64</v>
      </c>
      <c r="B4" s="34" t="s">
        <v>98</v>
      </c>
      <c r="C4" s="35" t="s">
        <v>99</v>
      </c>
      <c r="D4" s="34" t="n">
        <v>25</v>
      </c>
      <c r="E4" s="36" t="n">
        <f aca="false">IF(OR(C4="",D4=""),"",DATE(YEAR(C4)+D4,MONTH(C4),DAY(C4)))</f>
        <v>49522</v>
      </c>
      <c r="F4" s="37" t="str">
        <f aca="true">IF(E4="","",IF(E4&lt;TODAY(),"Overdue",IF(E4-TODAY()&lt;=60,"Due within 60d","OK")))</f>
        <v>OK</v>
      </c>
      <c r="G4" s="38" t="n">
        <v>350</v>
      </c>
      <c r="H4" s="34"/>
      <c r="I4" s="34"/>
    </row>
    <row r="5" customFormat="false" ht="21.75" hidden="false" customHeight="true" outlineLevel="0" collapsed="false">
      <c r="A5" s="39" t="s">
        <v>64</v>
      </c>
      <c r="B5" s="39" t="s">
        <v>100</v>
      </c>
      <c r="C5" s="40" t="s">
        <v>101</v>
      </c>
      <c r="D5" s="39" t="n">
        <v>15</v>
      </c>
      <c r="E5" s="41" t="n">
        <f aca="false">IF(OR(C5="",D5=""),"",DATE(YEAR(C5)+D5,MONTH(C5),DAY(C5)))</f>
        <v>48714</v>
      </c>
      <c r="F5" s="42" t="str">
        <f aca="true">IF(E5="","",IF(E5&lt;TODAY(),"Overdue",IF(E5-TODAY()&lt;=60,"Due within 60d","OK")))</f>
        <v>OK</v>
      </c>
      <c r="G5" s="43" t="n">
        <v>1500</v>
      </c>
      <c r="H5" s="39" t="s">
        <v>102</v>
      </c>
      <c r="I5" s="39"/>
    </row>
    <row r="6" customFormat="false" ht="21.75" hidden="false" customHeight="true" outlineLevel="0" collapsed="false">
      <c r="A6" s="34" t="s">
        <v>64</v>
      </c>
      <c r="B6" s="34" t="s">
        <v>103</v>
      </c>
      <c r="C6" s="35" t="s">
        <v>104</v>
      </c>
      <c r="D6" s="34" t="n">
        <v>12</v>
      </c>
      <c r="E6" s="36" t="n">
        <f aca="false">IF(OR(C6="",D6=""),"",DATE(YEAR(C6)+D6,MONTH(C6),DAY(C6)))</f>
        <v>48589</v>
      </c>
      <c r="F6" s="37" t="str">
        <f aca="true">IF(E6="","",IF(E6&lt;TODAY(),"Overdue",IF(E6-TODAY()&lt;=60,"Due within 60d","OK")))</f>
        <v>OK</v>
      </c>
      <c r="G6" s="38" t="n">
        <v>900</v>
      </c>
      <c r="H6" s="34"/>
      <c r="I6" s="34"/>
    </row>
    <row r="7" customFormat="false" ht="21.75" hidden="false" customHeight="true" outlineLevel="0" collapsed="false">
      <c r="A7" s="39" t="s">
        <v>71</v>
      </c>
      <c r="B7" s="39" t="s">
        <v>98</v>
      </c>
      <c r="C7" s="40" t="s">
        <v>105</v>
      </c>
      <c r="D7" s="39" t="n">
        <v>25</v>
      </c>
      <c r="E7" s="41" t="n">
        <f aca="false">IF(OR(C7="",D7=""),"",DATE(YEAR(C7)+D7,MONTH(C7),DAY(C7)))</f>
        <v>54168</v>
      </c>
      <c r="F7" s="42" t="str">
        <f aca="true">IF(E7="","",IF(E7&lt;TODAY(),"Overdue",IF(E7-TODAY()&lt;=60,"Due within 60d","OK")))</f>
        <v>OK</v>
      </c>
      <c r="G7" s="43" t="n">
        <v>0</v>
      </c>
      <c r="H7" s="39"/>
      <c r="I7" s="39"/>
    </row>
    <row r="8" customFormat="false" ht="21.75" hidden="false" customHeight="true" outlineLevel="0" collapsed="false">
      <c r="A8" s="34" t="s">
        <v>71</v>
      </c>
      <c r="B8" s="34" t="s">
        <v>106</v>
      </c>
      <c r="C8" s="35" t="s">
        <v>107</v>
      </c>
      <c r="D8" s="34" t="n">
        <v>20</v>
      </c>
      <c r="E8" s="36" t="n">
        <f aca="false">IF(OR(C8="",D8=""),"",DATE(YEAR(C8)+D8,MONTH(C8),DAY(C8)))</f>
        <v>49278</v>
      </c>
      <c r="F8" s="37" t="str">
        <f aca="true">IF(E8="","",IF(E8&lt;TODAY(),"Overdue",IF(E8-TODAY()&lt;=60,"Due within 60d","OK")))</f>
        <v>OK</v>
      </c>
      <c r="G8" s="38" t="n">
        <v>2200</v>
      </c>
      <c r="H8" s="34"/>
      <c r="I8" s="34"/>
    </row>
    <row r="9" customFormat="false" ht="21.75" hidden="false" customHeight="true" outlineLevel="0" collapsed="false">
      <c r="A9" s="39" t="s">
        <v>76</v>
      </c>
      <c r="B9" s="39" t="s">
        <v>108</v>
      </c>
      <c r="C9" s="40" t="s">
        <v>109</v>
      </c>
      <c r="D9" s="39" t="n">
        <v>8</v>
      </c>
      <c r="E9" s="41" t="n">
        <f aca="false">IF(OR(C9="",D9=""),"",DATE(YEAR(C9)+D9,MONTH(C9),DAY(C9)))</f>
        <v>46539</v>
      </c>
      <c r="F9" s="42" t="str">
        <f aca="true">IF(E9="","",IF(E9&lt;TODAY(),"Overdue",IF(E9-TODAY()&lt;=60,"Due within 60d","OK")))</f>
        <v>OK</v>
      </c>
      <c r="G9" s="43" t="n">
        <v>4500</v>
      </c>
      <c r="H9" s="39" t="s">
        <v>110</v>
      </c>
      <c r="I9" s="39"/>
    </row>
    <row r="10" customFormat="false" ht="21.75" hidden="false" customHeight="true" outlineLevel="0" collapsed="false">
      <c r="A10" s="34" t="s">
        <v>76</v>
      </c>
      <c r="B10" s="34" t="s">
        <v>111</v>
      </c>
      <c r="C10" s="35" t="s">
        <v>112</v>
      </c>
      <c r="D10" s="34" t="n">
        <v>2</v>
      </c>
      <c r="E10" s="36" t="n">
        <f aca="false">IF(OR(C10="",D10=""),"",DATE(YEAR(C10)+D10,MONTH(C10),DAY(C10)))</f>
        <v>46280</v>
      </c>
      <c r="F10" s="37" t="str">
        <f aca="true">IF(E10="","",IF(E10&lt;TODAY(),"Overdue",IF(E10-TODAY()&lt;=60,"Due within 60d","OK")))</f>
        <v>OK</v>
      </c>
      <c r="G10" s="38" t="n">
        <v>200</v>
      </c>
      <c r="H10" s="34" t="s">
        <v>113</v>
      </c>
      <c r="I10" s="34"/>
    </row>
    <row r="11" customFormat="false" ht="21.75" hidden="false" customHeight="true" outlineLevel="0" collapsed="false">
      <c r="A11" s="39"/>
      <c r="B11" s="39"/>
      <c r="C11" s="40"/>
      <c r="D11" s="39"/>
      <c r="E11" s="41" t="str">
        <f aca="false">IF(OR(C11="",D11=""),"",DATE(YEAR(C11)+D11,MONTH(C11),DAY(C11)))</f>
        <v/>
      </c>
      <c r="F11" s="42" t="str">
        <f aca="true">IF(E11="","",IF(E11&lt;TODAY(),"Overdue",IF(E11-TODAY()&lt;=60,"Due within 60d","OK")))</f>
        <v/>
      </c>
      <c r="G11" s="43"/>
      <c r="H11" s="39"/>
      <c r="I11" s="39"/>
    </row>
    <row r="12" customFormat="false" ht="21.75" hidden="false" customHeight="true" outlineLevel="0" collapsed="false">
      <c r="A12" s="34"/>
      <c r="B12" s="34"/>
      <c r="C12" s="35"/>
      <c r="D12" s="34"/>
      <c r="E12" s="36" t="str">
        <f aca="false">IF(OR(C12="",D12=""),"",DATE(YEAR(C12)+D12,MONTH(C12),DAY(C12)))</f>
        <v/>
      </c>
      <c r="F12" s="37" t="str">
        <f aca="true">IF(E12="","",IF(E12&lt;TODAY(),"Overdue",IF(E12-TODAY()&lt;=60,"Due within 60d","OK")))</f>
        <v/>
      </c>
      <c r="G12" s="38"/>
      <c r="H12" s="34"/>
      <c r="I12" s="34"/>
    </row>
    <row r="13" customFormat="false" ht="21.75" hidden="false" customHeight="true" outlineLevel="0" collapsed="false">
      <c r="A13" s="39"/>
      <c r="B13" s="39"/>
      <c r="C13" s="40"/>
      <c r="D13" s="39"/>
      <c r="E13" s="41" t="str">
        <f aca="false">IF(OR(C13="",D13=""),"",DATE(YEAR(C13)+D13,MONTH(C13),DAY(C13)))</f>
        <v/>
      </c>
      <c r="F13" s="42" t="str">
        <f aca="true">IF(E13="","",IF(E13&lt;TODAY(),"Overdue",IF(E13-TODAY()&lt;=60,"Due within 60d","OK")))</f>
        <v/>
      </c>
      <c r="G13" s="43"/>
      <c r="H13" s="39"/>
      <c r="I13" s="39"/>
    </row>
    <row r="14" customFormat="false" ht="21.75" hidden="false" customHeight="true" outlineLevel="0" collapsed="false">
      <c r="A14" s="34"/>
      <c r="B14" s="34"/>
      <c r="C14" s="35"/>
      <c r="D14" s="34"/>
      <c r="E14" s="36" t="str">
        <f aca="false">IF(OR(C14="",D14=""),"",DATE(YEAR(C14)+D14,MONTH(C14),DAY(C14)))</f>
        <v/>
      </c>
      <c r="F14" s="37" t="str">
        <f aca="true">IF(E14="","",IF(E14&lt;TODAY(),"Overdue",IF(E14-TODAY()&lt;=60,"Due within 60d","OK")))</f>
        <v/>
      </c>
      <c r="G14" s="38"/>
      <c r="H14" s="34"/>
      <c r="I14" s="34"/>
    </row>
    <row r="15" customFormat="false" ht="21.75" hidden="false" customHeight="true" outlineLevel="0" collapsed="false">
      <c r="A15" s="39"/>
      <c r="B15" s="39"/>
      <c r="C15" s="40"/>
      <c r="D15" s="39"/>
      <c r="E15" s="41" t="str">
        <f aca="false">IF(OR(C15="",D15=""),"",DATE(YEAR(C15)+D15,MONTH(C15),DAY(C15)))</f>
        <v/>
      </c>
      <c r="F15" s="42" t="str">
        <f aca="true">IF(E15="","",IF(E15&lt;TODAY(),"Overdue",IF(E15-TODAY()&lt;=60,"Due within 60d","OK")))</f>
        <v/>
      </c>
      <c r="G15" s="43"/>
      <c r="H15" s="39"/>
      <c r="I15" s="39"/>
    </row>
    <row r="16" customFormat="false" ht="21.75" hidden="false" customHeight="true" outlineLevel="0" collapsed="false">
      <c r="A16" s="34"/>
      <c r="B16" s="34"/>
      <c r="C16" s="35"/>
      <c r="D16" s="34"/>
      <c r="E16" s="36" t="str">
        <f aca="false">IF(OR(C16="",D16=""),"",DATE(YEAR(C16)+D16,MONTH(C16),DAY(C16)))</f>
        <v/>
      </c>
      <c r="F16" s="37" t="str">
        <f aca="true">IF(E16="","",IF(E16&lt;TODAY(),"Overdue",IF(E16-TODAY()&lt;=60,"Due within 60d","OK")))</f>
        <v/>
      </c>
      <c r="G16" s="38"/>
      <c r="H16" s="34"/>
      <c r="I16" s="34"/>
    </row>
    <row r="17" customFormat="false" ht="21.75" hidden="false" customHeight="true" outlineLevel="0" collapsed="false">
      <c r="A17" s="39"/>
      <c r="B17" s="39"/>
      <c r="C17" s="40"/>
      <c r="D17" s="39"/>
      <c r="E17" s="41" t="str">
        <f aca="false">IF(OR(C17="",D17=""),"",DATE(YEAR(C17)+D17,MONTH(C17),DAY(C17)))</f>
        <v/>
      </c>
      <c r="F17" s="42" t="str">
        <f aca="true">IF(E17="","",IF(E17&lt;TODAY(),"Overdue",IF(E17-TODAY()&lt;=60,"Due within 60d","OK")))</f>
        <v/>
      </c>
      <c r="G17" s="43"/>
      <c r="H17" s="39"/>
      <c r="I17" s="39"/>
    </row>
    <row r="18" customFormat="false" ht="21.75" hidden="false" customHeight="true" outlineLevel="0" collapsed="false">
      <c r="A18" s="34"/>
      <c r="B18" s="34"/>
      <c r="C18" s="35"/>
      <c r="D18" s="34"/>
      <c r="E18" s="36" t="str">
        <f aca="false">IF(OR(C18="",D18=""),"",DATE(YEAR(C18)+D18,MONTH(C18),DAY(C18)))</f>
        <v/>
      </c>
      <c r="F18" s="37" t="str">
        <f aca="true">IF(E18="","",IF(E18&lt;TODAY(),"Overdue",IF(E18-TODAY()&lt;=60,"Due within 60d","OK")))</f>
        <v/>
      </c>
      <c r="G18" s="38"/>
      <c r="H18" s="34"/>
      <c r="I18" s="34"/>
    </row>
    <row r="19" customFormat="false" ht="21.75" hidden="false" customHeight="true" outlineLevel="0" collapsed="false">
      <c r="A19" s="39"/>
      <c r="B19" s="39"/>
      <c r="C19" s="40"/>
      <c r="D19" s="39"/>
      <c r="E19" s="41" t="str">
        <f aca="false">IF(OR(C19="",D19=""),"",DATE(YEAR(C19)+D19,MONTH(C19),DAY(C19)))</f>
        <v/>
      </c>
      <c r="F19" s="42" t="str">
        <f aca="true">IF(E19="","",IF(E19&lt;TODAY(),"Overdue",IF(E19-TODAY()&lt;=60,"Due within 60d","OK")))</f>
        <v/>
      </c>
      <c r="G19" s="43"/>
      <c r="H19" s="39"/>
      <c r="I19" s="39"/>
    </row>
    <row r="20" customFormat="false" ht="21.75" hidden="false" customHeight="true" outlineLevel="0" collapsed="false">
      <c r="A20" s="34"/>
      <c r="B20" s="34"/>
      <c r="C20" s="35"/>
      <c r="D20" s="34"/>
      <c r="E20" s="36" t="str">
        <f aca="false">IF(OR(C20="",D20=""),"",DATE(YEAR(C20)+D20,MONTH(C20),DAY(C20)))</f>
        <v/>
      </c>
      <c r="F20" s="37" t="str">
        <f aca="true">IF(E20="","",IF(E20&lt;TODAY(),"Overdue",IF(E20-TODAY()&lt;=60,"Due within 60d","OK")))</f>
        <v/>
      </c>
      <c r="G20" s="38"/>
      <c r="H20" s="34"/>
      <c r="I20" s="34"/>
    </row>
    <row r="21" customFormat="false" ht="21.75" hidden="false" customHeight="true" outlineLevel="0" collapsed="false">
      <c r="A21" s="39"/>
      <c r="B21" s="39"/>
      <c r="C21" s="40"/>
      <c r="D21" s="39"/>
      <c r="E21" s="41" t="str">
        <f aca="false">IF(OR(C21="",D21=""),"",DATE(YEAR(C21)+D21,MONTH(C21),DAY(C21)))</f>
        <v/>
      </c>
      <c r="F21" s="42" t="str">
        <f aca="true">IF(E21="","",IF(E21&lt;TODAY(),"Overdue",IF(E21-TODAY()&lt;=60,"Due within 60d","OK")))</f>
        <v/>
      </c>
      <c r="G21" s="43"/>
      <c r="H21" s="39"/>
      <c r="I21" s="39"/>
    </row>
    <row r="22" customFormat="false" ht="21.75" hidden="false" customHeight="true" outlineLevel="0" collapsed="false">
      <c r="A22" s="34"/>
      <c r="B22" s="34"/>
      <c r="C22" s="35"/>
      <c r="D22" s="34"/>
      <c r="E22" s="36" t="str">
        <f aca="false">IF(OR(C22="",D22=""),"",DATE(YEAR(C22)+D22,MONTH(C22),DAY(C22)))</f>
        <v/>
      </c>
      <c r="F22" s="37" t="str">
        <f aca="true">IF(E22="","",IF(E22&lt;TODAY(),"Overdue",IF(E22-TODAY()&lt;=60,"Due within 60d","OK")))</f>
        <v/>
      </c>
      <c r="G22" s="38"/>
      <c r="H22" s="34"/>
      <c r="I22" s="34"/>
    </row>
    <row r="23" customFormat="false" ht="21.75" hidden="false" customHeight="true" outlineLevel="0" collapsed="false">
      <c r="A23" s="39"/>
      <c r="B23" s="39"/>
      <c r="C23" s="40"/>
      <c r="D23" s="39"/>
      <c r="E23" s="41" t="str">
        <f aca="false">IF(OR(C23="",D23=""),"",DATE(YEAR(C23)+D23,MONTH(C23),DAY(C23)))</f>
        <v/>
      </c>
      <c r="F23" s="42" t="str">
        <f aca="true">IF(E23="","",IF(E23&lt;TODAY(),"Overdue",IF(E23-TODAY()&lt;=60,"Due within 60d","OK")))</f>
        <v/>
      </c>
      <c r="G23" s="43"/>
      <c r="H23" s="39"/>
      <c r="I23" s="39"/>
    </row>
    <row r="24" customFormat="false" ht="21.75" hidden="false" customHeight="true" outlineLevel="0" collapsed="false">
      <c r="A24" s="34"/>
      <c r="B24" s="34"/>
      <c r="C24" s="35"/>
      <c r="D24" s="34"/>
      <c r="E24" s="36" t="str">
        <f aca="false">IF(OR(C24="",D24=""),"",DATE(YEAR(C24)+D24,MONTH(C24),DAY(C24)))</f>
        <v/>
      </c>
      <c r="F24" s="37" t="str">
        <f aca="true">IF(E24="","",IF(E24&lt;TODAY(),"Overdue",IF(E24-TODAY()&lt;=60,"Due within 60d","OK")))</f>
        <v/>
      </c>
      <c r="G24" s="38"/>
      <c r="H24" s="34"/>
      <c r="I24" s="34"/>
    </row>
    <row r="25" customFormat="false" ht="21.75" hidden="false" customHeight="true" outlineLevel="0" collapsed="false">
      <c r="A25" s="39"/>
      <c r="B25" s="39"/>
      <c r="C25" s="40"/>
      <c r="D25" s="39"/>
      <c r="E25" s="41" t="str">
        <f aca="false">IF(OR(C25="",D25=""),"",DATE(YEAR(C25)+D25,MONTH(C25),DAY(C25)))</f>
        <v/>
      </c>
      <c r="F25" s="42" t="str">
        <f aca="true">IF(E25="","",IF(E25&lt;TODAY(),"Overdue",IF(E25-TODAY()&lt;=60,"Due within 60d","OK")))</f>
        <v/>
      </c>
      <c r="G25" s="43"/>
      <c r="H25" s="39"/>
      <c r="I25" s="39"/>
    </row>
    <row r="26" customFormat="false" ht="21.75" hidden="false" customHeight="true" outlineLevel="0" collapsed="false">
      <c r="A26" s="34"/>
      <c r="B26" s="34"/>
      <c r="C26" s="35"/>
      <c r="D26" s="34"/>
      <c r="E26" s="36" t="str">
        <f aca="false">IF(OR(C26="",D26=""),"",DATE(YEAR(C26)+D26,MONTH(C26),DAY(C26)))</f>
        <v/>
      </c>
      <c r="F26" s="37" t="str">
        <f aca="true">IF(E26="","",IF(E26&lt;TODAY(),"Overdue",IF(E26-TODAY()&lt;=60,"Due within 60d","OK")))</f>
        <v/>
      </c>
      <c r="G26" s="38"/>
      <c r="H26" s="34"/>
      <c r="I26" s="34"/>
    </row>
    <row r="27" customFormat="false" ht="21.75" hidden="false" customHeight="true" outlineLevel="0" collapsed="false">
      <c r="A27" s="39"/>
      <c r="B27" s="39"/>
      <c r="C27" s="40"/>
      <c r="D27" s="39"/>
      <c r="E27" s="41" t="str">
        <f aca="false">IF(OR(C27="",D27=""),"",DATE(YEAR(C27)+D27,MONTH(C27),DAY(C27)))</f>
        <v/>
      </c>
      <c r="F27" s="42" t="str">
        <f aca="true">IF(E27="","",IF(E27&lt;TODAY(),"Overdue",IF(E27-TODAY()&lt;=60,"Due within 60d","OK")))</f>
        <v/>
      </c>
      <c r="G27" s="43"/>
      <c r="H27" s="39"/>
      <c r="I27" s="39"/>
    </row>
    <row r="28" customFormat="false" ht="21.75" hidden="false" customHeight="true" outlineLevel="0" collapsed="false">
      <c r="A28" s="34"/>
      <c r="B28" s="34"/>
      <c r="C28" s="35"/>
      <c r="D28" s="34"/>
      <c r="E28" s="36" t="str">
        <f aca="false">IF(OR(C28="",D28=""),"",DATE(YEAR(C28)+D28,MONTH(C28),DAY(C28)))</f>
        <v/>
      </c>
      <c r="F28" s="37" t="str">
        <f aca="true">IF(E28="","",IF(E28&lt;TODAY(),"Overdue",IF(E28-TODAY()&lt;=60,"Due within 60d","OK")))</f>
        <v/>
      </c>
      <c r="G28" s="38"/>
      <c r="H28" s="34"/>
      <c r="I28" s="34"/>
    </row>
    <row r="29" customFormat="false" ht="21.75" hidden="false" customHeight="true" outlineLevel="0" collapsed="false">
      <c r="A29" s="39"/>
      <c r="B29" s="39"/>
      <c r="C29" s="40"/>
      <c r="D29" s="39"/>
      <c r="E29" s="41" t="str">
        <f aca="false">IF(OR(C29="",D29=""),"",DATE(YEAR(C29)+D29,MONTH(C29),DAY(C29)))</f>
        <v/>
      </c>
      <c r="F29" s="42" t="str">
        <f aca="true">IF(E29="","",IF(E29&lt;TODAY(),"Overdue",IF(E29-TODAY()&lt;=60,"Due within 60d","OK")))</f>
        <v/>
      </c>
      <c r="G29" s="43"/>
      <c r="H29" s="39"/>
      <c r="I29" s="39"/>
    </row>
    <row r="30" customFormat="false" ht="21.75" hidden="false" customHeight="true" outlineLevel="0" collapsed="false">
      <c r="A30" s="34"/>
      <c r="B30" s="34"/>
      <c r="C30" s="35"/>
      <c r="D30" s="34"/>
      <c r="E30" s="36" t="str">
        <f aca="false">IF(OR(C30="",D30=""),"",DATE(YEAR(C30)+D30,MONTH(C30),DAY(C30)))</f>
        <v/>
      </c>
      <c r="F30" s="37" t="str">
        <f aca="true">IF(E30="","",IF(E30&lt;TODAY(),"Overdue",IF(E30-TODAY()&lt;=60,"Due within 60d","OK")))</f>
        <v/>
      </c>
      <c r="G30" s="38"/>
      <c r="H30" s="34"/>
      <c r="I30" s="34"/>
    </row>
    <row r="31" customFormat="false" ht="21.75" hidden="false" customHeight="true" outlineLevel="0" collapsed="false">
      <c r="A31" s="39"/>
      <c r="B31" s="39"/>
      <c r="C31" s="40"/>
      <c r="D31" s="39"/>
      <c r="E31" s="41" t="str">
        <f aca="false">IF(OR(C31="",D31=""),"",DATE(YEAR(C31)+D31,MONTH(C31),DAY(C31)))</f>
        <v/>
      </c>
      <c r="F31" s="42" t="str">
        <f aca="true">IF(E31="","",IF(E31&lt;TODAY(),"Overdue",IF(E31-TODAY()&lt;=60,"Due within 60d","OK")))</f>
        <v/>
      </c>
      <c r="G31" s="43"/>
      <c r="H31" s="39"/>
      <c r="I31" s="39"/>
    </row>
    <row r="32" customFormat="false" ht="21.75" hidden="false" customHeight="true" outlineLevel="0" collapsed="false">
      <c r="A32" s="34"/>
      <c r="B32" s="34"/>
      <c r="C32" s="35"/>
      <c r="D32" s="34"/>
      <c r="E32" s="36" t="str">
        <f aca="false">IF(OR(C32="",D32=""),"",DATE(YEAR(C32)+D32,MONTH(C32),DAY(C32)))</f>
        <v/>
      </c>
      <c r="F32" s="37" t="str">
        <f aca="true">IF(E32="","",IF(E32&lt;TODAY(),"Overdue",IF(E32-TODAY()&lt;=60,"Due within 60d","OK")))</f>
        <v/>
      </c>
      <c r="G32" s="38"/>
      <c r="H32" s="34"/>
      <c r="I32" s="34"/>
    </row>
    <row r="33" customFormat="false" ht="21.75" hidden="false" customHeight="true" outlineLevel="0" collapsed="false">
      <c r="A33" s="39"/>
      <c r="B33" s="39"/>
      <c r="C33" s="40"/>
      <c r="D33" s="39"/>
      <c r="E33" s="41" t="str">
        <f aca="false">IF(OR(C33="",D33=""),"",DATE(YEAR(C33)+D33,MONTH(C33),DAY(C33)))</f>
        <v/>
      </c>
      <c r="F33" s="42" t="str">
        <f aca="true">IF(E33="","",IF(E33&lt;TODAY(),"Overdue",IF(E33-TODAY()&lt;=60,"Due within 60d","OK")))</f>
        <v/>
      </c>
      <c r="G33" s="43"/>
      <c r="H33" s="39"/>
      <c r="I33" s="39"/>
    </row>
    <row r="34" customFormat="false" ht="21.75" hidden="false" customHeight="true" outlineLevel="0" collapsed="false">
      <c r="A34" s="34"/>
      <c r="B34" s="34"/>
      <c r="C34" s="35"/>
      <c r="D34" s="34"/>
      <c r="E34" s="36" t="str">
        <f aca="false">IF(OR(C34="",D34=""),"",DATE(YEAR(C34)+D34,MONTH(C34),DAY(C34)))</f>
        <v/>
      </c>
      <c r="F34" s="37" t="str">
        <f aca="true">IF(E34="","",IF(E34&lt;TODAY(),"Overdue",IF(E34-TODAY()&lt;=60,"Due within 60d","OK")))</f>
        <v/>
      </c>
      <c r="G34" s="38"/>
      <c r="H34" s="34"/>
      <c r="I34" s="34"/>
    </row>
    <row r="35" customFormat="false" ht="21.75" hidden="false" customHeight="true" outlineLevel="0" collapsed="false">
      <c r="A35" s="39"/>
      <c r="B35" s="39"/>
      <c r="C35" s="40"/>
      <c r="D35" s="39"/>
      <c r="E35" s="41" t="str">
        <f aca="false">IF(OR(C35="",D35=""),"",DATE(YEAR(C35)+D35,MONTH(C35),DAY(C35)))</f>
        <v/>
      </c>
      <c r="F35" s="42" t="str">
        <f aca="true">IF(E35="","",IF(E35&lt;TODAY(),"Overdue",IF(E35-TODAY()&lt;=60,"Due within 60d","OK")))</f>
        <v/>
      </c>
      <c r="G35" s="43"/>
      <c r="H35" s="39"/>
      <c r="I35" s="39"/>
    </row>
    <row r="36" customFormat="false" ht="21.75" hidden="false" customHeight="true" outlineLevel="0" collapsed="false">
      <c r="A36" s="34"/>
      <c r="B36" s="34"/>
      <c r="C36" s="35"/>
      <c r="D36" s="34"/>
      <c r="E36" s="36" t="str">
        <f aca="false">IF(OR(C36="",D36=""),"",DATE(YEAR(C36)+D36,MONTH(C36),DAY(C36)))</f>
        <v/>
      </c>
      <c r="F36" s="37" t="str">
        <f aca="true">IF(E36="","",IF(E36&lt;TODAY(),"Overdue",IF(E36-TODAY()&lt;=60,"Due within 60d","OK")))</f>
        <v/>
      </c>
      <c r="G36" s="38"/>
      <c r="H36" s="34"/>
      <c r="I36" s="34"/>
    </row>
    <row r="37" customFormat="false" ht="21.75" hidden="false" customHeight="true" outlineLevel="0" collapsed="false">
      <c r="A37" s="39"/>
      <c r="B37" s="39"/>
      <c r="C37" s="40"/>
      <c r="D37" s="39"/>
      <c r="E37" s="41" t="str">
        <f aca="false">IF(OR(C37="",D37=""),"",DATE(YEAR(C37)+D37,MONTH(C37),DAY(C37)))</f>
        <v/>
      </c>
      <c r="F37" s="42" t="str">
        <f aca="true">IF(E37="","",IF(E37&lt;TODAY(),"Overdue",IF(E37-TODAY()&lt;=60,"Due within 60d","OK")))</f>
        <v/>
      </c>
      <c r="G37" s="43"/>
      <c r="H37" s="39"/>
      <c r="I37" s="39"/>
    </row>
    <row r="38" customFormat="false" ht="21.75" hidden="false" customHeight="true" outlineLevel="0" collapsed="false">
      <c r="A38" s="34"/>
      <c r="B38" s="34"/>
      <c r="C38" s="35"/>
      <c r="D38" s="34"/>
      <c r="E38" s="36" t="str">
        <f aca="false">IF(OR(C38="",D38=""),"",DATE(YEAR(C38)+D38,MONTH(C38),DAY(C38)))</f>
        <v/>
      </c>
      <c r="F38" s="37" t="str">
        <f aca="true">IF(E38="","",IF(E38&lt;TODAY(),"Overdue",IF(E38-TODAY()&lt;=60,"Due within 60d","OK")))</f>
        <v/>
      </c>
      <c r="G38" s="38"/>
      <c r="H38" s="34"/>
      <c r="I38" s="34"/>
    </row>
    <row r="39" customFormat="false" ht="21.75" hidden="false" customHeight="true" outlineLevel="0" collapsed="false">
      <c r="A39" s="39"/>
      <c r="B39" s="39"/>
      <c r="C39" s="40"/>
      <c r="D39" s="39"/>
      <c r="E39" s="41" t="str">
        <f aca="false">IF(OR(C39="",D39=""),"",DATE(YEAR(C39)+D39,MONTH(C39),DAY(C39)))</f>
        <v/>
      </c>
      <c r="F39" s="42" t="str">
        <f aca="true">IF(E39="","",IF(E39&lt;TODAY(),"Overdue",IF(E39-TODAY()&lt;=60,"Due within 60d","OK")))</f>
        <v/>
      </c>
      <c r="G39" s="43"/>
      <c r="H39" s="39"/>
      <c r="I39" s="39"/>
    </row>
    <row r="40" customFormat="false" ht="21.75" hidden="false" customHeight="true" outlineLevel="0" collapsed="false">
      <c r="A40" s="34"/>
      <c r="B40" s="34"/>
      <c r="C40" s="35"/>
      <c r="D40" s="34"/>
      <c r="E40" s="36" t="str">
        <f aca="false">IF(OR(C40="",D40=""),"",DATE(YEAR(C40)+D40,MONTH(C40),DAY(C40)))</f>
        <v/>
      </c>
      <c r="F40" s="37" t="str">
        <f aca="true">IF(E40="","",IF(E40&lt;TODAY(),"Overdue",IF(E40-TODAY()&lt;=60,"Due within 60d","OK")))</f>
        <v/>
      </c>
      <c r="G40" s="38"/>
      <c r="H40" s="34"/>
      <c r="I40" s="34"/>
    </row>
    <row r="43" customFormat="false" ht="24" hidden="false" customHeight="true" outlineLevel="0" collapsed="false">
      <c r="A43" s="44" t="s">
        <v>114</v>
      </c>
      <c r="B43" s="44"/>
      <c r="C43" s="44"/>
    </row>
    <row r="44" customFormat="false" ht="15" hidden="false" customHeight="true" outlineLevel="0" collapsed="false">
      <c r="A44" s="31" t="s">
        <v>115</v>
      </c>
      <c r="B44" s="45" t="n">
        <f aca="false">COUNTIF(F4:F40,"Overdue")</f>
        <v>0</v>
      </c>
    </row>
    <row r="45" customFormat="false" ht="15" hidden="false" customHeight="true" outlineLevel="0" collapsed="false">
      <c r="A45" s="31" t="s">
        <v>116</v>
      </c>
      <c r="B45" s="45" t="n">
        <f aca="false">COUNTIF(F4:F40,"Due within 60d")</f>
        <v>0</v>
      </c>
    </row>
    <row r="46" customFormat="false" ht="15" hidden="false" customHeight="true" outlineLevel="0" collapsed="false">
      <c r="A46" s="31" t="s">
        <v>117</v>
      </c>
      <c r="B46" s="32" t="n">
        <f aca="false">SUMPRODUCT((F4:F40&lt;&gt;"OK")*(F4:F40&lt;&gt;"")*(G4:G40))</f>
        <v>0</v>
      </c>
    </row>
  </sheetData>
  <mergeCells count="2">
    <mergeCell ref="A1:I1"/>
    <mergeCell ref="A43:C43"/>
  </mergeCells>
  <conditionalFormatting sqref="F4:F40">
    <cfRule type="cellIs" priority="2" operator="equal" aboveAverage="0" equalAverage="0" bottom="0" percent="0" rank="0" text="" dxfId="3">
      <formula>"Overdue"</formula>
    </cfRule>
    <cfRule type="cellIs" priority="3" operator="equal" aboveAverage="0" equalAverage="0" bottom="0" percent="0" rank="0" text="" dxfId="1">
      <formula>"Due within 60d"</formula>
    </cfRule>
    <cfRule type="cellIs" priority="4" operator="equal" aboveAverage="0" equalAverage="0" bottom="0" percent="0" rank="0" text="" dxfId="0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8"/>
    <col collapsed="false" customWidth="true" hidden="false" outlineLevel="0" max="4" min="4" style="1" width="22"/>
    <col collapsed="false" customWidth="true" hidden="false" outlineLevel="0" max="5" min="5" style="1" width="36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4"/>
    <col collapsed="false" customWidth="true" hidden="false" outlineLevel="0" max="10" min="10" style="1" width="16"/>
    <col collapsed="false" customWidth="true" hidden="false" outlineLevel="0" max="14" min="11" style="1" width="14"/>
  </cols>
  <sheetData>
    <row r="1" customFormat="false" ht="25.5" hidden="false" customHeight="true" outlineLevel="0" collapsed="false">
      <c r="A1" s="16" t="s">
        <v>118</v>
      </c>
      <c r="B1" s="16"/>
      <c r="C1" s="16"/>
      <c r="D1" s="16"/>
      <c r="E1" s="16"/>
      <c r="F1" s="16"/>
      <c r="G1" s="16"/>
      <c r="H1" s="16"/>
      <c r="J1" s="44" t="s">
        <v>119</v>
      </c>
      <c r="K1" s="44"/>
      <c r="L1" s="44"/>
      <c r="M1" s="44"/>
      <c r="N1" s="44"/>
    </row>
    <row r="3" customFormat="false" ht="30" hidden="false" customHeight="true" outlineLevel="0" collapsed="false">
      <c r="A3" s="17" t="s">
        <v>120</v>
      </c>
      <c r="B3" s="17" t="s">
        <v>90</v>
      </c>
      <c r="C3" s="17" t="s">
        <v>121</v>
      </c>
      <c r="D3" s="17" t="s">
        <v>122</v>
      </c>
      <c r="E3" s="17" t="s">
        <v>123</v>
      </c>
      <c r="F3" s="17" t="s">
        <v>124</v>
      </c>
      <c r="G3" s="17" t="s">
        <v>125</v>
      </c>
      <c r="H3" s="17" t="s">
        <v>126</v>
      </c>
      <c r="J3" s="46" t="s">
        <v>90</v>
      </c>
      <c r="K3" s="46" t="s">
        <v>127</v>
      </c>
      <c r="L3" s="46" t="s">
        <v>128</v>
      </c>
      <c r="M3" s="46" t="s">
        <v>129</v>
      </c>
      <c r="N3" s="46" t="s">
        <v>130</v>
      </c>
    </row>
    <row r="4" customFormat="false" ht="15" hidden="false" customHeight="true" outlineLevel="0" collapsed="false">
      <c r="A4" s="47" t="s">
        <v>131</v>
      </c>
      <c r="B4" s="19" t="s">
        <v>64</v>
      </c>
      <c r="C4" s="19" t="s">
        <v>132</v>
      </c>
      <c r="D4" s="19" t="s">
        <v>133</v>
      </c>
      <c r="E4" s="19" t="s">
        <v>134</v>
      </c>
      <c r="F4" s="20" t="n">
        <v>1135</v>
      </c>
      <c r="G4" s="19" t="s">
        <v>135</v>
      </c>
      <c r="H4" s="19" t="s">
        <v>136</v>
      </c>
      <c r="J4" s="45" t="s">
        <v>64</v>
      </c>
      <c r="K4" s="48" t="n">
        <f aca="true">SUMPRODUCT((B4:B79=J4)*(YEAR(A4:A79)=YEAR(TODAY()))*(MONTH(A4:A79)=MONTH(TODAY()))*F4:F79)</f>
        <v>0</v>
      </c>
      <c r="L4" s="48" t="n">
        <f aca="true">SUMPRODUCT((B4:B79=J4)*(YEAR(A4:A79)=YEAR(TODAY()))*(INT((MONTH(A4:A79)-1)/3)=INT((MONTH(TODAY())-1)/3))*F4:F79)</f>
        <v>1355</v>
      </c>
      <c r="M4" s="48" t="n">
        <f aca="true">SUMPRODUCT((B4:B79=J4)*(YEAR(A4:A79)=YEAR(TODAY()))*F4:F79)</f>
        <v>1355</v>
      </c>
      <c r="N4" s="48" t="n">
        <f aca="true">SUMPRODUCT((B4:B79=J4)*(A4:A79&gt;=EDATE(TODAY(),-12))*F4:F79)</f>
        <v>1355</v>
      </c>
    </row>
    <row r="5" customFormat="false" ht="15" hidden="false" customHeight="true" outlineLevel="0" collapsed="false">
      <c r="A5" s="49" t="s">
        <v>131</v>
      </c>
      <c r="B5" s="25" t="s">
        <v>71</v>
      </c>
      <c r="C5" s="25" t="s">
        <v>132</v>
      </c>
      <c r="D5" s="25" t="s">
        <v>137</v>
      </c>
      <c r="E5" s="25" t="s">
        <v>134</v>
      </c>
      <c r="F5" s="26" t="n">
        <v>525</v>
      </c>
      <c r="G5" s="25" t="s">
        <v>135</v>
      </c>
      <c r="H5" s="25" t="s">
        <v>138</v>
      </c>
      <c r="J5" s="50" t="s">
        <v>71</v>
      </c>
      <c r="K5" s="51" t="n">
        <f aca="true">SUMPRODUCT((B4:B79=J5)*(YEAR(A4:A79)=YEAR(TODAY()))*(MONTH(A4:A79)=MONTH(TODAY()))*F4:F79)</f>
        <v>0</v>
      </c>
      <c r="L5" s="51" t="n">
        <f aca="true">SUMPRODUCT((B4:B79=J5)*(YEAR(A4:A79)=YEAR(TODAY()))*(INT((MONTH(A4:A79)-1)/3)=INT((MONTH(TODAY())-1)/3))*F4:F79)</f>
        <v>670</v>
      </c>
      <c r="M5" s="51" t="n">
        <f aca="true">SUMPRODUCT((B4:B79=J5)*(YEAR(A4:A79)=YEAR(TODAY()))*F4:F79)</f>
        <v>670</v>
      </c>
      <c r="N5" s="51" t="n">
        <f aca="true">SUMPRODUCT((B4:B79=J5)*(A4:A79&gt;=EDATE(TODAY(),-12))*F4:F79)</f>
        <v>670</v>
      </c>
    </row>
    <row r="6" customFormat="false" ht="15" hidden="false" customHeight="true" outlineLevel="0" collapsed="false">
      <c r="A6" s="47" t="s">
        <v>139</v>
      </c>
      <c r="B6" s="19" t="s">
        <v>64</v>
      </c>
      <c r="C6" s="19" t="s">
        <v>140</v>
      </c>
      <c r="D6" s="19" t="s">
        <v>141</v>
      </c>
      <c r="E6" s="19" t="s">
        <v>142</v>
      </c>
      <c r="F6" s="20" t="n">
        <v>220</v>
      </c>
      <c r="G6" s="19" t="s">
        <v>135</v>
      </c>
      <c r="H6" s="19" t="s">
        <v>143</v>
      </c>
      <c r="J6" s="45" t="s">
        <v>76</v>
      </c>
      <c r="K6" s="48" t="n">
        <f aca="true">SUMPRODUCT((B4:B79=J6)*(YEAR(A4:A79)=YEAR(TODAY()))*(MONTH(A4:A79)=MONTH(TODAY()))*F4:F79)</f>
        <v>0</v>
      </c>
      <c r="L6" s="48" t="n">
        <f aca="true">SUMPRODUCT((B4:B79=J6)*(YEAR(A4:A79)=YEAR(TODAY()))*(INT((MONTH(A4:A79)-1)/3)=INT((MONTH(TODAY())-1)/3))*F4:F79)</f>
        <v>1850</v>
      </c>
      <c r="M6" s="48" t="n">
        <f aca="true">SUMPRODUCT((B4:B79=J6)*(YEAR(A4:A79)=YEAR(TODAY()))*F4:F79)</f>
        <v>1850</v>
      </c>
      <c r="N6" s="48" t="n">
        <f aca="true">SUMPRODUCT((B4:B79=J6)*(A4:A79&gt;=EDATE(TODAY(),-12))*F4:F79)</f>
        <v>1850</v>
      </c>
    </row>
    <row r="7" customFormat="false" ht="15" hidden="false" customHeight="true" outlineLevel="0" collapsed="false">
      <c r="A7" s="49" t="s">
        <v>144</v>
      </c>
      <c r="B7" s="25" t="s">
        <v>71</v>
      </c>
      <c r="C7" s="25" t="s">
        <v>145</v>
      </c>
      <c r="D7" s="25" t="s">
        <v>146</v>
      </c>
      <c r="E7" s="25" t="s">
        <v>147</v>
      </c>
      <c r="F7" s="26" t="n">
        <v>145</v>
      </c>
      <c r="G7" s="25" t="s">
        <v>148</v>
      </c>
      <c r="H7" s="25" t="s">
        <v>149</v>
      </c>
      <c r="J7" s="50"/>
      <c r="K7" s="51"/>
      <c r="L7" s="51"/>
      <c r="M7" s="51"/>
      <c r="N7" s="51"/>
    </row>
    <row r="8" customFormat="false" ht="15" hidden="false" customHeight="true" outlineLevel="0" collapsed="false">
      <c r="A8" s="47" t="s">
        <v>150</v>
      </c>
      <c r="B8" s="19" t="s">
        <v>76</v>
      </c>
      <c r="C8" s="19" t="s">
        <v>151</v>
      </c>
      <c r="D8" s="19" t="s">
        <v>152</v>
      </c>
      <c r="E8" s="19" t="s">
        <v>153</v>
      </c>
      <c r="F8" s="20" t="n">
        <v>1850</v>
      </c>
      <c r="G8" s="19" t="s">
        <v>135</v>
      </c>
      <c r="H8" s="19" t="s">
        <v>154</v>
      </c>
      <c r="J8" s="45"/>
      <c r="K8" s="48"/>
      <c r="L8" s="48"/>
      <c r="M8" s="48"/>
      <c r="N8" s="48"/>
    </row>
    <row r="9" customFormat="false" ht="15" hidden="false" customHeight="true" outlineLevel="0" collapsed="false">
      <c r="A9" s="49"/>
      <c r="B9" s="25"/>
      <c r="C9" s="25"/>
      <c r="D9" s="25"/>
      <c r="E9" s="25"/>
      <c r="F9" s="26"/>
      <c r="G9" s="25"/>
      <c r="H9" s="25"/>
      <c r="J9" s="50"/>
      <c r="K9" s="51"/>
      <c r="L9" s="51"/>
      <c r="M9" s="51"/>
      <c r="N9" s="51"/>
    </row>
    <row r="10" customFormat="false" ht="15" hidden="false" customHeight="true" outlineLevel="0" collapsed="false">
      <c r="A10" s="47"/>
      <c r="B10" s="19"/>
      <c r="C10" s="19"/>
      <c r="D10" s="19"/>
      <c r="E10" s="19"/>
      <c r="F10" s="20"/>
      <c r="G10" s="19"/>
      <c r="H10" s="19"/>
      <c r="J10" s="52" t="s">
        <v>155</v>
      </c>
      <c r="K10" s="53" t="n">
        <f aca="false">SUM(K4:K9)</f>
        <v>0</v>
      </c>
      <c r="L10" s="53" t="n">
        <f aca="false">SUM(L4:L9)</f>
        <v>3875</v>
      </c>
      <c r="M10" s="53" t="n">
        <f aca="false">SUM(M4:M9)</f>
        <v>3875</v>
      </c>
      <c r="N10" s="53" t="n">
        <f aca="false">SUM(N4:N9)</f>
        <v>3875</v>
      </c>
    </row>
    <row r="11" customFormat="false" ht="15" hidden="false" customHeight="true" outlineLevel="0" collapsed="false">
      <c r="A11" s="49"/>
      <c r="B11" s="25"/>
      <c r="C11" s="25"/>
      <c r="D11" s="25"/>
      <c r="E11" s="25"/>
      <c r="F11" s="26"/>
      <c r="G11" s="25"/>
      <c r="H11" s="25"/>
    </row>
    <row r="12" customFormat="false" ht="24" hidden="false" customHeight="true" outlineLevel="0" collapsed="false">
      <c r="A12" s="47"/>
      <c r="B12" s="19"/>
      <c r="C12" s="19"/>
      <c r="D12" s="19"/>
      <c r="E12" s="19"/>
      <c r="F12" s="20"/>
      <c r="G12" s="19"/>
      <c r="H12" s="19"/>
      <c r="J12" s="44" t="s">
        <v>156</v>
      </c>
      <c r="K12" s="44"/>
      <c r="L12" s="44"/>
      <c r="M12" s="44"/>
      <c r="N12" s="44"/>
    </row>
    <row r="13" customFormat="false" ht="15" hidden="false" customHeight="true" outlineLevel="0" collapsed="false">
      <c r="A13" s="49"/>
      <c r="B13" s="25"/>
      <c r="C13" s="25"/>
      <c r="D13" s="25"/>
      <c r="E13" s="25"/>
      <c r="F13" s="26"/>
      <c r="G13" s="25"/>
      <c r="H13" s="25"/>
    </row>
    <row r="14" customFormat="false" ht="15" hidden="false" customHeight="true" outlineLevel="0" collapsed="false">
      <c r="A14" s="47"/>
      <c r="B14" s="19"/>
      <c r="C14" s="19"/>
      <c r="D14" s="19"/>
      <c r="E14" s="19"/>
      <c r="F14" s="20"/>
      <c r="G14" s="19"/>
      <c r="H14" s="19"/>
      <c r="J14" s="54" t="s">
        <v>121</v>
      </c>
      <c r="K14" s="54" t="s">
        <v>157</v>
      </c>
    </row>
    <row r="15" customFormat="false" ht="15" hidden="false" customHeight="true" outlineLevel="0" collapsed="false">
      <c r="A15" s="49"/>
      <c r="B15" s="25"/>
      <c r="C15" s="25"/>
      <c r="D15" s="25"/>
      <c r="E15" s="25"/>
      <c r="F15" s="26"/>
      <c r="G15" s="25"/>
      <c r="H15" s="25"/>
      <c r="J15" s="55" t="s">
        <v>132</v>
      </c>
      <c r="K15" s="48" t="n">
        <f aca="true">SUMPRODUCT((C4:C79=J15)*(YEAR(A4:A79)=YEAR(TODAY()))*F4:F79)</f>
        <v>1660</v>
      </c>
    </row>
    <row r="16" customFormat="false" ht="15" hidden="false" customHeight="true" outlineLevel="0" collapsed="false">
      <c r="A16" s="47"/>
      <c r="B16" s="19"/>
      <c r="C16" s="19"/>
      <c r="D16" s="19"/>
      <c r="E16" s="19"/>
      <c r="F16" s="20"/>
      <c r="G16" s="19"/>
      <c r="H16" s="19"/>
      <c r="J16" s="56" t="s">
        <v>151</v>
      </c>
      <c r="K16" s="51" t="n">
        <f aca="true">SUMPRODUCT((C4:C79=J16)*(YEAR(A4:A79)=YEAR(TODAY()))*F4:F79)</f>
        <v>1850</v>
      </c>
    </row>
    <row r="17" customFormat="false" ht="15" hidden="false" customHeight="true" outlineLevel="0" collapsed="false">
      <c r="A17" s="49"/>
      <c r="B17" s="25"/>
      <c r="C17" s="25"/>
      <c r="D17" s="25"/>
      <c r="E17" s="25"/>
      <c r="F17" s="26"/>
      <c r="G17" s="25"/>
      <c r="H17" s="25"/>
      <c r="J17" s="55" t="s">
        <v>140</v>
      </c>
      <c r="K17" s="48" t="n">
        <f aca="true">SUMPRODUCT((C4:C79=J17)*(YEAR(A4:A79)=YEAR(TODAY()))*F4:F79)</f>
        <v>220</v>
      </c>
    </row>
    <row r="18" customFormat="false" ht="15" hidden="false" customHeight="true" outlineLevel="0" collapsed="false">
      <c r="A18" s="47"/>
      <c r="B18" s="19"/>
      <c r="C18" s="19"/>
      <c r="D18" s="19"/>
      <c r="E18" s="19"/>
      <c r="F18" s="20"/>
      <c r="G18" s="19"/>
      <c r="H18" s="19"/>
      <c r="J18" s="56" t="s">
        <v>158</v>
      </c>
      <c r="K18" s="51" t="n">
        <f aca="true">SUMPRODUCT((C4:C79=J18)*(YEAR(A4:A79)=YEAR(TODAY()))*F4:F79)</f>
        <v>0</v>
      </c>
    </row>
    <row r="19" customFormat="false" ht="15" hidden="false" customHeight="true" outlineLevel="0" collapsed="false">
      <c r="A19" s="49"/>
      <c r="B19" s="25"/>
      <c r="C19" s="25"/>
      <c r="D19" s="25"/>
      <c r="E19" s="25"/>
      <c r="F19" s="26"/>
      <c r="G19" s="25"/>
      <c r="H19" s="25"/>
      <c r="J19" s="55" t="s">
        <v>145</v>
      </c>
      <c r="K19" s="48" t="n">
        <f aca="true">SUMPRODUCT((C4:C79=J19)*(YEAR(A4:A79)=YEAR(TODAY()))*F4:F79)</f>
        <v>145</v>
      </c>
    </row>
    <row r="20" customFormat="false" ht="15" hidden="false" customHeight="true" outlineLevel="0" collapsed="false">
      <c r="A20" s="47"/>
      <c r="B20" s="19"/>
      <c r="C20" s="19"/>
      <c r="D20" s="19"/>
      <c r="E20" s="19"/>
      <c r="F20" s="20"/>
      <c r="G20" s="19"/>
      <c r="H20" s="19"/>
      <c r="J20" s="56" t="s">
        <v>159</v>
      </c>
      <c r="K20" s="51" t="n">
        <f aca="true">SUMPRODUCT((C4:C79=J20)*(YEAR(A4:A79)=YEAR(TODAY()))*F4:F79)</f>
        <v>0</v>
      </c>
    </row>
    <row r="21" customFormat="false" ht="15" hidden="false" customHeight="true" outlineLevel="0" collapsed="false">
      <c r="A21" s="49"/>
      <c r="B21" s="25"/>
      <c r="C21" s="25"/>
      <c r="D21" s="25"/>
      <c r="E21" s="25"/>
      <c r="F21" s="26"/>
      <c r="G21" s="25"/>
      <c r="H21" s="25"/>
      <c r="J21" s="55" t="s">
        <v>58</v>
      </c>
      <c r="K21" s="48" t="n">
        <f aca="true">SUMPRODUCT((C4:C79=J21)*(YEAR(A4:A79)=YEAR(TODAY()))*F4:F79)</f>
        <v>0</v>
      </c>
    </row>
    <row r="22" customFormat="false" ht="15" hidden="false" customHeight="true" outlineLevel="0" collapsed="false">
      <c r="A22" s="47"/>
      <c r="B22" s="19"/>
      <c r="C22" s="19"/>
      <c r="D22" s="19"/>
      <c r="E22" s="19"/>
      <c r="F22" s="20"/>
      <c r="G22" s="19"/>
      <c r="H22" s="19"/>
      <c r="J22" s="56" t="s">
        <v>160</v>
      </c>
      <c r="K22" s="51" t="n">
        <f aca="true">SUMPRODUCT((C4:C79=J22)*(YEAR(A4:A79)=YEAR(TODAY()))*F4:F79)</f>
        <v>0</v>
      </c>
    </row>
    <row r="23" customFormat="false" ht="15" hidden="false" customHeight="true" outlineLevel="0" collapsed="false">
      <c r="A23" s="49"/>
      <c r="B23" s="25"/>
      <c r="C23" s="25"/>
      <c r="D23" s="25"/>
      <c r="E23" s="25"/>
      <c r="F23" s="26"/>
      <c r="G23" s="25"/>
      <c r="H23" s="25"/>
      <c r="J23" s="55" t="s">
        <v>161</v>
      </c>
      <c r="K23" s="48" t="n">
        <f aca="true">SUMPRODUCT((C4:C79=J23)*(YEAR(A4:A79)=YEAR(TODAY()))*F4:F79)</f>
        <v>0</v>
      </c>
    </row>
    <row r="24" customFormat="false" ht="15" hidden="false" customHeight="true" outlineLevel="0" collapsed="false">
      <c r="A24" s="47"/>
      <c r="B24" s="19"/>
      <c r="C24" s="19"/>
      <c r="D24" s="19"/>
      <c r="E24" s="19"/>
      <c r="F24" s="20"/>
      <c r="G24" s="19"/>
      <c r="H24" s="19"/>
      <c r="J24" s="56" t="s">
        <v>162</v>
      </c>
      <c r="K24" s="51" t="n">
        <f aca="true">SUMPRODUCT((C4:C79=J24)*(YEAR(A4:A79)=YEAR(TODAY()))*F4:F79)</f>
        <v>0</v>
      </c>
    </row>
    <row r="25" customFormat="false" ht="15" hidden="false" customHeight="true" outlineLevel="0" collapsed="false">
      <c r="A25" s="49"/>
      <c r="B25" s="25"/>
      <c r="C25" s="25"/>
      <c r="D25" s="25"/>
      <c r="E25" s="25"/>
      <c r="F25" s="26"/>
      <c r="G25" s="25"/>
      <c r="H25" s="25"/>
      <c r="J25" s="55" t="s">
        <v>163</v>
      </c>
      <c r="K25" s="48" t="n">
        <f aca="true">SUMPRODUCT((C4:C79=J25)*(YEAR(A4:A79)=YEAR(TODAY()))*F4:F79)</f>
        <v>0</v>
      </c>
    </row>
    <row r="26" customFormat="false" ht="15" hidden="false" customHeight="true" outlineLevel="0" collapsed="false">
      <c r="A26" s="47"/>
      <c r="B26" s="19"/>
      <c r="C26" s="19"/>
      <c r="D26" s="19"/>
      <c r="E26" s="19"/>
      <c r="F26" s="20"/>
      <c r="G26" s="19"/>
      <c r="H26" s="19"/>
    </row>
    <row r="27" customFormat="false" ht="15" hidden="false" customHeight="true" outlineLevel="0" collapsed="false">
      <c r="A27" s="49"/>
      <c r="B27" s="25"/>
      <c r="C27" s="25"/>
      <c r="D27" s="25"/>
      <c r="E27" s="25"/>
      <c r="F27" s="26"/>
      <c r="G27" s="25"/>
      <c r="H27" s="25"/>
    </row>
    <row r="28" customFormat="false" ht="15" hidden="false" customHeight="true" outlineLevel="0" collapsed="false">
      <c r="A28" s="47"/>
      <c r="B28" s="19"/>
      <c r="C28" s="19"/>
      <c r="D28" s="19"/>
      <c r="E28" s="19"/>
      <c r="F28" s="20"/>
      <c r="G28" s="19"/>
      <c r="H28" s="19"/>
    </row>
    <row r="29" customFormat="false" ht="15" hidden="false" customHeight="true" outlineLevel="0" collapsed="false">
      <c r="A29" s="49"/>
      <c r="B29" s="25"/>
      <c r="C29" s="25"/>
      <c r="D29" s="25"/>
      <c r="E29" s="25"/>
      <c r="F29" s="26"/>
      <c r="G29" s="25"/>
      <c r="H29" s="25"/>
    </row>
    <row r="30" customFormat="false" ht="15" hidden="false" customHeight="true" outlineLevel="0" collapsed="false">
      <c r="A30" s="47"/>
      <c r="B30" s="19"/>
      <c r="C30" s="19"/>
      <c r="D30" s="19"/>
      <c r="E30" s="19"/>
      <c r="F30" s="20"/>
      <c r="G30" s="19"/>
      <c r="H30" s="19"/>
    </row>
    <row r="31" customFormat="false" ht="15" hidden="false" customHeight="true" outlineLevel="0" collapsed="false">
      <c r="A31" s="49"/>
      <c r="B31" s="25"/>
      <c r="C31" s="25"/>
      <c r="D31" s="25"/>
      <c r="E31" s="25"/>
      <c r="F31" s="26"/>
      <c r="G31" s="25"/>
      <c r="H31" s="25"/>
    </row>
    <row r="32" customFormat="false" ht="15" hidden="false" customHeight="true" outlineLevel="0" collapsed="false">
      <c r="A32" s="47"/>
      <c r="B32" s="19"/>
      <c r="C32" s="19"/>
      <c r="D32" s="19"/>
      <c r="E32" s="19"/>
      <c r="F32" s="20"/>
      <c r="G32" s="19"/>
      <c r="H32" s="19"/>
    </row>
    <row r="33" customFormat="false" ht="15" hidden="false" customHeight="true" outlineLevel="0" collapsed="false">
      <c r="A33" s="49"/>
      <c r="B33" s="25"/>
      <c r="C33" s="25"/>
      <c r="D33" s="25"/>
      <c r="E33" s="25"/>
      <c r="F33" s="26"/>
      <c r="G33" s="25"/>
      <c r="H33" s="25"/>
    </row>
    <row r="34" customFormat="false" ht="15" hidden="false" customHeight="true" outlineLevel="0" collapsed="false">
      <c r="A34" s="47"/>
      <c r="B34" s="19"/>
      <c r="C34" s="19"/>
      <c r="D34" s="19"/>
      <c r="E34" s="19"/>
      <c r="F34" s="20"/>
      <c r="G34" s="19"/>
      <c r="H34" s="19"/>
    </row>
    <row r="35" customFormat="false" ht="15" hidden="false" customHeight="true" outlineLevel="0" collapsed="false">
      <c r="A35" s="49"/>
      <c r="B35" s="25"/>
      <c r="C35" s="25"/>
      <c r="D35" s="25"/>
      <c r="E35" s="25"/>
      <c r="F35" s="26"/>
      <c r="G35" s="25"/>
      <c r="H35" s="25"/>
    </row>
    <row r="36" customFormat="false" ht="15" hidden="false" customHeight="true" outlineLevel="0" collapsed="false">
      <c r="A36" s="47"/>
      <c r="B36" s="19"/>
      <c r="C36" s="19"/>
      <c r="D36" s="19"/>
      <c r="E36" s="19"/>
      <c r="F36" s="20"/>
      <c r="G36" s="19"/>
      <c r="H36" s="19"/>
    </row>
    <row r="37" customFormat="false" ht="15" hidden="false" customHeight="true" outlineLevel="0" collapsed="false">
      <c r="A37" s="49"/>
      <c r="B37" s="25"/>
      <c r="C37" s="25"/>
      <c r="D37" s="25"/>
      <c r="E37" s="25"/>
      <c r="F37" s="26"/>
      <c r="G37" s="25"/>
      <c r="H37" s="25"/>
    </row>
    <row r="38" customFormat="false" ht="15" hidden="false" customHeight="true" outlineLevel="0" collapsed="false">
      <c r="A38" s="47"/>
      <c r="B38" s="19"/>
      <c r="C38" s="19"/>
      <c r="D38" s="19"/>
      <c r="E38" s="19"/>
      <c r="F38" s="20"/>
      <c r="G38" s="19"/>
      <c r="H38" s="19"/>
    </row>
    <row r="39" customFormat="false" ht="15" hidden="false" customHeight="true" outlineLevel="0" collapsed="false">
      <c r="A39" s="49"/>
      <c r="B39" s="25"/>
      <c r="C39" s="25"/>
      <c r="D39" s="25"/>
      <c r="E39" s="25"/>
      <c r="F39" s="26"/>
      <c r="G39" s="25"/>
      <c r="H39" s="25"/>
    </row>
    <row r="40" customFormat="false" ht="15" hidden="false" customHeight="true" outlineLevel="0" collapsed="false">
      <c r="A40" s="47"/>
      <c r="B40" s="19"/>
      <c r="C40" s="19"/>
      <c r="D40" s="19"/>
      <c r="E40" s="19"/>
      <c r="F40" s="20"/>
      <c r="G40" s="19"/>
      <c r="H40" s="19"/>
    </row>
    <row r="41" customFormat="false" ht="15" hidden="false" customHeight="true" outlineLevel="0" collapsed="false">
      <c r="A41" s="49"/>
      <c r="B41" s="25"/>
      <c r="C41" s="25"/>
      <c r="D41" s="25"/>
      <c r="E41" s="25"/>
      <c r="F41" s="26"/>
      <c r="G41" s="25"/>
      <c r="H41" s="25"/>
    </row>
    <row r="42" customFormat="false" ht="15" hidden="false" customHeight="true" outlineLevel="0" collapsed="false">
      <c r="A42" s="47"/>
      <c r="B42" s="19"/>
      <c r="C42" s="19"/>
      <c r="D42" s="19"/>
      <c r="E42" s="19"/>
      <c r="F42" s="20"/>
      <c r="G42" s="19"/>
      <c r="H42" s="19"/>
    </row>
    <row r="43" customFormat="false" ht="15" hidden="false" customHeight="true" outlineLevel="0" collapsed="false">
      <c r="A43" s="49"/>
      <c r="B43" s="25"/>
      <c r="C43" s="25"/>
      <c r="D43" s="25"/>
      <c r="E43" s="25"/>
      <c r="F43" s="26"/>
      <c r="G43" s="25"/>
      <c r="H43" s="25"/>
    </row>
    <row r="44" customFormat="false" ht="15" hidden="false" customHeight="true" outlineLevel="0" collapsed="false">
      <c r="A44" s="47"/>
      <c r="B44" s="19"/>
      <c r="C44" s="19"/>
      <c r="D44" s="19"/>
      <c r="E44" s="19"/>
      <c r="F44" s="20"/>
      <c r="G44" s="19"/>
      <c r="H44" s="19"/>
    </row>
    <row r="45" customFormat="false" ht="15" hidden="false" customHeight="true" outlineLevel="0" collapsed="false">
      <c r="A45" s="49"/>
      <c r="B45" s="25"/>
      <c r="C45" s="25"/>
      <c r="D45" s="25"/>
      <c r="E45" s="25"/>
      <c r="F45" s="26"/>
      <c r="G45" s="25"/>
      <c r="H45" s="25"/>
    </row>
    <row r="46" customFormat="false" ht="15" hidden="false" customHeight="true" outlineLevel="0" collapsed="false">
      <c r="A46" s="47"/>
      <c r="B46" s="19"/>
      <c r="C46" s="19"/>
      <c r="D46" s="19"/>
      <c r="E46" s="19"/>
      <c r="F46" s="20"/>
      <c r="G46" s="19"/>
      <c r="H46" s="19"/>
    </row>
    <row r="47" customFormat="false" ht="15" hidden="false" customHeight="true" outlineLevel="0" collapsed="false">
      <c r="A47" s="49"/>
      <c r="B47" s="25"/>
      <c r="C47" s="25"/>
      <c r="D47" s="25"/>
      <c r="E47" s="25"/>
      <c r="F47" s="26"/>
      <c r="G47" s="25"/>
      <c r="H47" s="25"/>
    </row>
    <row r="48" customFormat="false" ht="15" hidden="false" customHeight="true" outlineLevel="0" collapsed="false">
      <c r="A48" s="47"/>
      <c r="B48" s="19"/>
      <c r="C48" s="19"/>
      <c r="D48" s="19"/>
      <c r="E48" s="19"/>
      <c r="F48" s="20"/>
      <c r="G48" s="19"/>
      <c r="H48" s="19"/>
    </row>
    <row r="49" customFormat="false" ht="15" hidden="false" customHeight="true" outlineLevel="0" collapsed="false">
      <c r="A49" s="49"/>
      <c r="B49" s="25"/>
      <c r="C49" s="25"/>
      <c r="D49" s="25"/>
      <c r="E49" s="25"/>
      <c r="F49" s="26"/>
      <c r="G49" s="25"/>
      <c r="H49" s="25"/>
    </row>
    <row r="50" customFormat="false" ht="15" hidden="false" customHeight="true" outlineLevel="0" collapsed="false">
      <c r="A50" s="47"/>
      <c r="B50" s="19"/>
      <c r="C50" s="19"/>
      <c r="D50" s="19"/>
      <c r="E50" s="19"/>
      <c r="F50" s="20"/>
      <c r="G50" s="19"/>
      <c r="H50" s="19"/>
    </row>
    <row r="51" customFormat="false" ht="15" hidden="false" customHeight="true" outlineLevel="0" collapsed="false">
      <c r="A51" s="49"/>
      <c r="B51" s="25"/>
      <c r="C51" s="25"/>
      <c r="D51" s="25"/>
      <c r="E51" s="25"/>
      <c r="F51" s="26"/>
      <c r="G51" s="25"/>
      <c r="H51" s="25"/>
    </row>
    <row r="52" customFormat="false" ht="15" hidden="false" customHeight="true" outlineLevel="0" collapsed="false">
      <c r="A52" s="47"/>
      <c r="B52" s="19"/>
      <c r="C52" s="19"/>
      <c r="D52" s="19"/>
      <c r="E52" s="19"/>
      <c r="F52" s="20"/>
      <c r="G52" s="19"/>
      <c r="H52" s="19"/>
    </row>
    <row r="53" customFormat="false" ht="15" hidden="false" customHeight="true" outlineLevel="0" collapsed="false">
      <c r="A53" s="49"/>
      <c r="B53" s="25"/>
      <c r="C53" s="25"/>
      <c r="D53" s="25"/>
      <c r="E53" s="25"/>
      <c r="F53" s="26"/>
      <c r="G53" s="25"/>
      <c r="H53" s="25"/>
    </row>
    <row r="54" customFormat="false" ht="15" hidden="false" customHeight="true" outlineLevel="0" collapsed="false">
      <c r="A54" s="47"/>
      <c r="B54" s="19"/>
      <c r="C54" s="19"/>
      <c r="D54" s="19"/>
      <c r="E54" s="19"/>
      <c r="F54" s="20"/>
      <c r="G54" s="19"/>
      <c r="H54" s="19"/>
    </row>
    <row r="55" customFormat="false" ht="15" hidden="false" customHeight="true" outlineLevel="0" collapsed="false">
      <c r="A55" s="49"/>
      <c r="B55" s="25"/>
      <c r="C55" s="25"/>
      <c r="D55" s="25"/>
      <c r="E55" s="25"/>
      <c r="F55" s="26"/>
      <c r="G55" s="25"/>
      <c r="H55" s="25"/>
    </row>
    <row r="56" customFormat="false" ht="15" hidden="false" customHeight="true" outlineLevel="0" collapsed="false">
      <c r="A56" s="47"/>
      <c r="B56" s="19"/>
      <c r="C56" s="19"/>
      <c r="D56" s="19"/>
      <c r="E56" s="19"/>
      <c r="F56" s="20"/>
      <c r="G56" s="19"/>
      <c r="H56" s="19"/>
    </row>
    <row r="57" customFormat="false" ht="15" hidden="false" customHeight="true" outlineLevel="0" collapsed="false">
      <c r="A57" s="49"/>
      <c r="B57" s="25"/>
      <c r="C57" s="25"/>
      <c r="D57" s="25"/>
      <c r="E57" s="25"/>
      <c r="F57" s="26"/>
      <c r="G57" s="25"/>
      <c r="H57" s="25"/>
    </row>
    <row r="58" customFormat="false" ht="15" hidden="false" customHeight="true" outlineLevel="0" collapsed="false">
      <c r="A58" s="47"/>
      <c r="B58" s="19"/>
      <c r="C58" s="19"/>
      <c r="D58" s="19"/>
      <c r="E58" s="19"/>
      <c r="F58" s="20"/>
      <c r="G58" s="19"/>
      <c r="H58" s="19"/>
    </row>
    <row r="59" customFormat="false" ht="15" hidden="false" customHeight="true" outlineLevel="0" collapsed="false">
      <c r="A59" s="49"/>
      <c r="B59" s="25"/>
      <c r="C59" s="25"/>
      <c r="D59" s="25"/>
      <c r="E59" s="25"/>
      <c r="F59" s="26"/>
      <c r="G59" s="25"/>
      <c r="H59" s="25"/>
    </row>
    <row r="60" customFormat="false" ht="15" hidden="false" customHeight="true" outlineLevel="0" collapsed="false">
      <c r="A60" s="47"/>
      <c r="B60" s="19"/>
      <c r="C60" s="19"/>
      <c r="D60" s="19"/>
      <c r="E60" s="19"/>
      <c r="F60" s="20"/>
      <c r="G60" s="19"/>
      <c r="H60" s="19"/>
    </row>
    <row r="61" customFormat="false" ht="15" hidden="false" customHeight="true" outlineLevel="0" collapsed="false">
      <c r="A61" s="49"/>
      <c r="B61" s="25"/>
      <c r="C61" s="25"/>
      <c r="D61" s="25"/>
      <c r="E61" s="25"/>
      <c r="F61" s="26"/>
      <c r="G61" s="25"/>
      <c r="H61" s="25"/>
    </row>
    <row r="62" customFormat="false" ht="15" hidden="false" customHeight="true" outlineLevel="0" collapsed="false">
      <c r="A62" s="47"/>
      <c r="B62" s="19"/>
      <c r="C62" s="19"/>
      <c r="D62" s="19"/>
      <c r="E62" s="19"/>
      <c r="F62" s="20"/>
      <c r="G62" s="19"/>
      <c r="H62" s="19"/>
    </row>
    <row r="63" customFormat="false" ht="15" hidden="false" customHeight="true" outlineLevel="0" collapsed="false">
      <c r="A63" s="49"/>
      <c r="B63" s="25"/>
      <c r="C63" s="25"/>
      <c r="D63" s="25"/>
      <c r="E63" s="25"/>
      <c r="F63" s="26"/>
      <c r="G63" s="25"/>
      <c r="H63" s="25"/>
    </row>
    <row r="64" customFormat="false" ht="15" hidden="false" customHeight="true" outlineLevel="0" collapsed="false">
      <c r="A64" s="47"/>
      <c r="B64" s="19"/>
      <c r="C64" s="19"/>
      <c r="D64" s="19"/>
      <c r="E64" s="19"/>
      <c r="F64" s="20"/>
      <c r="G64" s="19"/>
      <c r="H64" s="19"/>
    </row>
    <row r="65" customFormat="false" ht="15" hidden="false" customHeight="true" outlineLevel="0" collapsed="false">
      <c r="A65" s="49"/>
      <c r="B65" s="25"/>
      <c r="C65" s="25"/>
      <c r="D65" s="25"/>
      <c r="E65" s="25"/>
      <c r="F65" s="26"/>
      <c r="G65" s="25"/>
      <c r="H65" s="25"/>
    </row>
    <row r="66" customFormat="false" ht="15" hidden="false" customHeight="true" outlineLevel="0" collapsed="false">
      <c r="A66" s="47"/>
      <c r="B66" s="19"/>
      <c r="C66" s="19"/>
      <c r="D66" s="19"/>
      <c r="E66" s="19"/>
      <c r="F66" s="20"/>
      <c r="G66" s="19"/>
      <c r="H66" s="19"/>
    </row>
    <row r="67" customFormat="false" ht="15" hidden="false" customHeight="true" outlineLevel="0" collapsed="false">
      <c r="A67" s="49"/>
      <c r="B67" s="25"/>
      <c r="C67" s="25"/>
      <c r="D67" s="25"/>
      <c r="E67" s="25"/>
      <c r="F67" s="26"/>
      <c r="G67" s="25"/>
      <c r="H67" s="25"/>
    </row>
    <row r="68" customFormat="false" ht="15" hidden="false" customHeight="true" outlineLevel="0" collapsed="false">
      <c r="A68" s="47"/>
      <c r="B68" s="19"/>
      <c r="C68" s="19"/>
      <c r="D68" s="19"/>
      <c r="E68" s="19"/>
      <c r="F68" s="20"/>
      <c r="G68" s="19"/>
      <c r="H68" s="19"/>
    </row>
    <row r="69" customFormat="false" ht="15" hidden="false" customHeight="true" outlineLevel="0" collapsed="false">
      <c r="A69" s="49"/>
      <c r="B69" s="25"/>
      <c r="C69" s="25"/>
      <c r="D69" s="25"/>
      <c r="E69" s="25"/>
      <c r="F69" s="26"/>
      <c r="G69" s="25"/>
      <c r="H69" s="25"/>
    </row>
    <row r="70" customFormat="false" ht="15" hidden="false" customHeight="true" outlineLevel="0" collapsed="false">
      <c r="A70" s="47"/>
      <c r="B70" s="19"/>
      <c r="C70" s="19"/>
      <c r="D70" s="19"/>
      <c r="E70" s="19"/>
      <c r="F70" s="20"/>
      <c r="G70" s="19"/>
      <c r="H70" s="19"/>
    </row>
    <row r="71" customFormat="false" ht="15" hidden="false" customHeight="true" outlineLevel="0" collapsed="false">
      <c r="A71" s="49"/>
      <c r="B71" s="25"/>
      <c r="C71" s="25"/>
      <c r="D71" s="25"/>
      <c r="E71" s="25"/>
      <c r="F71" s="26"/>
      <c r="G71" s="25"/>
      <c r="H71" s="25"/>
    </row>
    <row r="72" customFormat="false" ht="15" hidden="false" customHeight="true" outlineLevel="0" collapsed="false">
      <c r="A72" s="47"/>
      <c r="B72" s="19"/>
      <c r="C72" s="19"/>
      <c r="D72" s="19"/>
      <c r="E72" s="19"/>
      <c r="F72" s="20"/>
      <c r="G72" s="19"/>
      <c r="H72" s="19"/>
    </row>
    <row r="73" customFormat="false" ht="15" hidden="false" customHeight="true" outlineLevel="0" collapsed="false">
      <c r="A73" s="49"/>
      <c r="B73" s="25"/>
      <c r="C73" s="25"/>
      <c r="D73" s="25"/>
      <c r="E73" s="25"/>
      <c r="F73" s="26"/>
      <c r="G73" s="25"/>
      <c r="H73" s="25"/>
    </row>
    <row r="74" customFormat="false" ht="15" hidden="false" customHeight="true" outlineLevel="0" collapsed="false">
      <c r="A74" s="47"/>
      <c r="B74" s="19"/>
      <c r="C74" s="19"/>
      <c r="D74" s="19"/>
      <c r="E74" s="19"/>
      <c r="F74" s="20"/>
      <c r="G74" s="19"/>
      <c r="H74" s="19"/>
    </row>
    <row r="75" customFormat="false" ht="15" hidden="false" customHeight="true" outlineLevel="0" collapsed="false">
      <c r="A75" s="49"/>
      <c r="B75" s="25"/>
      <c r="C75" s="25"/>
      <c r="D75" s="25"/>
      <c r="E75" s="25"/>
      <c r="F75" s="26"/>
      <c r="G75" s="25"/>
      <c r="H75" s="25"/>
    </row>
    <row r="76" customFormat="false" ht="15" hidden="false" customHeight="true" outlineLevel="0" collapsed="false">
      <c r="A76" s="47"/>
      <c r="B76" s="19"/>
      <c r="C76" s="19"/>
      <c r="D76" s="19"/>
      <c r="E76" s="19"/>
      <c r="F76" s="20"/>
      <c r="G76" s="19"/>
      <c r="H76" s="19"/>
    </row>
    <row r="77" customFormat="false" ht="15" hidden="false" customHeight="true" outlineLevel="0" collapsed="false">
      <c r="A77" s="49"/>
      <c r="B77" s="25"/>
      <c r="C77" s="25"/>
      <c r="D77" s="25"/>
      <c r="E77" s="25"/>
      <c r="F77" s="26"/>
      <c r="G77" s="25"/>
      <c r="H77" s="25"/>
    </row>
    <row r="78" customFormat="false" ht="15" hidden="false" customHeight="true" outlineLevel="0" collapsed="false">
      <c r="A78" s="47"/>
      <c r="B78" s="19"/>
      <c r="C78" s="19"/>
      <c r="D78" s="19"/>
      <c r="E78" s="19"/>
      <c r="F78" s="20"/>
      <c r="G78" s="19"/>
      <c r="H78" s="19"/>
    </row>
    <row r="79" customFormat="false" ht="15" hidden="false" customHeight="true" outlineLevel="0" collapsed="false">
      <c r="A79" s="49"/>
      <c r="B79" s="25"/>
      <c r="C79" s="25"/>
      <c r="D79" s="25"/>
      <c r="E79" s="25"/>
      <c r="F79" s="26"/>
      <c r="G79" s="25"/>
      <c r="H79" s="25"/>
    </row>
  </sheetData>
  <mergeCells count="3">
    <mergeCell ref="A1:H1"/>
    <mergeCell ref="J1:N1"/>
    <mergeCell ref="J12:N12"/>
  </mergeCells>
  <dataValidations count="2">
    <dataValidation allowBlank="true" errorStyle="stop" operator="between" showDropDown="false" showErrorMessage="false" showInputMessage="false" sqref="C4:C79" type="list">
      <formula1>_Lists!$A$1:$A$11</formula1>
      <formula2>0</formula2>
    </dataValidation>
    <dataValidation allowBlank="true" errorStyle="stop" operator="between" showDropDown="false" showErrorMessage="false" showInputMessage="false" sqref="B4:B79" type="list">
      <formula1>_Lists!$B$1:$B$30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12"/>
    <col collapsed="false" customWidth="true" hidden="false" outlineLevel="0" max="7" min="6" style="1" width="10"/>
    <col collapsed="false" customWidth="true" hidden="false" outlineLevel="0" max="9" min="8" style="1" width="12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18"/>
  </cols>
  <sheetData>
    <row r="1" customFormat="false" ht="27.75" hidden="false" customHeight="true" outlineLevel="0" collapsed="false">
      <c r="A1" s="16" t="s">
        <v>164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customFormat="false" ht="30" hidden="false" customHeight="true" outlineLevel="0" collapsed="false">
      <c r="A3" s="17" t="s">
        <v>90</v>
      </c>
      <c r="B3" s="17" t="s">
        <v>165</v>
      </c>
      <c r="C3" s="17" t="s">
        <v>166</v>
      </c>
      <c r="D3" s="17" t="s">
        <v>167</v>
      </c>
      <c r="E3" s="17" t="s">
        <v>168</v>
      </c>
      <c r="F3" s="17" t="s">
        <v>169</v>
      </c>
      <c r="G3" s="17" t="s">
        <v>170</v>
      </c>
      <c r="H3" s="17" t="s">
        <v>171</v>
      </c>
      <c r="I3" s="17" t="s">
        <v>172</v>
      </c>
      <c r="J3" s="17" t="s">
        <v>173</v>
      </c>
      <c r="K3" s="17" t="s">
        <v>174</v>
      </c>
      <c r="L3" s="17" t="s">
        <v>175</v>
      </c>
    </row>
    <row r="4" customFormat="false" ht="21.75" hidden="false" customHeight="true" outlineLevel="0" collapsed="false">
      <c r="A4" s="57" t="str">
        <f aca="false">IF(Properties!B4="","",Properties!B4)</f>
        <v>Sample 1</v>
      </c>
      <c r="B4" s="58" t="n">
        <f aca="false">IF(Properties!L4="","",Properties!L4)</f>
        <v>142000</v>
      </c>
      <c r="C4" s="59" t="n">
        <f aca="false">IF(Properties!O4="","",Properties!O4)</f>
        <v>0.0625</v>
      </c>
      <c r="D4" s="19" t="n">
        <v>25</v>
      </c>
      <c r="E4" s="58" t="n">
        <f aca="false">IF(Properties!Q4="","",Properties!Q4)</f>
        <v>1135</v>
      </c>
      <c r="F4" s="22" t="n">
        <f aca="false">MarketRate30</f>
        <v>0.0668</v>
      </c>
      <c r="G4" s="19" t="n">
        <v>30</v>
      </c>
      <c r="H4" s="21" t="n">
        <f aca="false">IF(OR(B4="",F4="",G4=""),"",PMT(F4/12,G4*12,-B4))</f>
        <v>914.411686539495</v>
      </c>
      <c r="I4" s="21" t="n">
        <f aca="false">IF(OR(E4="",H4=""),"",E4-H4)</f>
        <v>220.588313460505</v>
      </c>
      <c r="J4" s="21" t="n">
        <f aca="false">IF(B4="","",B4*RefiCostPct)</f>
        <v>3550</v>
      </c>
      <c r="K4" s="60" t="n">
        <f aca="false">IFERROR(IF(I4&lt;=0,"No savings",J4/I4),"")</f>
        <v>16.0933276305936</v>
      </c>
      <c r="L4" s="18" t="str">
        <f aca="false">IF(I4="","",IF(C4-F4&lt;0.005,"Skip - rate already low",IF(I4&lt;=0,"Skip - no savings",IF(AND(I4&gt;=RefiThreshold,K4&lt;=24),"REFI NOW",IF(I4&gt;=RefiThreshold,"Refi if staying long","Below threshold")))))</f>
        <v>Skip - rate already low</v>
      </c>
    </row>
    <row r="5" customFormat="false" ht="21.75" hidden="false" customHeight="true" outlineLevel="0" collapsed="false">
      <c r="A5" s="61" t="str">
        <f aca="false">IF(Properties!B5="","",Properties!B5)</f>
        <v>Sample 2</v>
      </c>
      <c r="B5" s="62" t="n">
        <f aca="false">IF(Properties!L5="","",Properties!L5)</f>
        <v>78000</v>
      </c>
      <c r="C5" s="63" t="n">
        <f aca="false">IF(Properties!O5="","",Properties!O5)</f>
        <v>0.0425</v>
      </c>
      <c r="D5" s="25" t="n">
        <v>25</v>
      </c>
      <c r="E5" s="62" t="n">
        <f aca="false">IF(Properties!Q5="","",Properties!Q5)</f>
        <v>525</v>
      </c>
      <c r="F5" s="28" t="n">
        <f aca="false">MarketRate30</f>
        <v>0.0668</v>
      </c>
      <c r="G5" s="25" t="n">
        <v>30</v>
      </c>
      <c r="H5" s="27" t="n">
        <f aca="false">IF(OR(B5="",F5="",G5=""),"",PMT(F5/12,G5*12,-B5))</f>
        <v>502.282475704793</v>
      </c>
      <c r="I5" s="27" t="n">
        <f aca="false">IF(OR(E5="",H5=""),"",E5-H5)</f>
        <v>22.7175242952072</v>
      </c>
      <c r="J5" s="27" t="n">
        <f aca="false">IF(B5="","",B5*RefiCostPct)</f>
        <v>1950</v>
      </c>
      <c r="K5" s="64" t="n">
        <f aca="false">IFERROR(IF(I5&lt;=0,"No savings",J5/I5),"")</f>
        <v>85.836818073147</v>
      </c>
      <c r="L5" s="24" t="str">
        <f aca="false">IF(I5="","",IF(C5-F5&lt;0.005,"Skip - rate already low",IF(I5&lt;=0,"Skip - no savings",IF(AND(I5&gt;=RefiThreshold,K5&lt;=24),"REFI NOW",IF(I5&gt;=RefiThreshold,"Refi if staying long","Below threshold")))))</f>
        <v>Skip - rate already low</v>
      </c>
    </row>
    <row r="6" customFormat="false" ht="21.75" hidden="false" customHeight="true" outlineLevel="0" collapsed="false">
      <c r="A6" s="57" t="str">
        <f aca="false">IF(Properties!B6="","",Properties!B6)</f>
        <v>Sample 3</v>
      </c>
      <c r="B6" s="58" t="n">
        <f aca="false">IF(Properties!L6="","",Properties!L6)</f>
        <v>205000</v>
      </c>
      <c r="C6" s="59" t="n">
        <f aca="false">IF(Properties!O6="","",Properties!O6)</f>
        <v>0.075</v>
      </c>
      <c r="D6" s="19" t="n">
        <v>25</v>
      </c>
      <c r="E6" s="58" t="n">
        <f aca="false">IF(Properties!Q6="","",Properties!Q6)</f>
        <v>1430</v>
      </c>
      <c r="F6" s="22" t="n">
        <f aca="false">MarketRate30</f>
        <v>0.0668</v>
      </c>
      <c r="G6" s="19" t="n">
        <v>30</v>
      </c>
      <c r="H6" s="21" t="n">
        <f aca="false">IF(OR(B6="",F6="",G6=""),"",PMT(F6/12,G6*12,-B6))</f>
        <v>1320.1013784549</v>
      </c>
      <c r="I6" s="21" t="n">
        <f aca="false">IF(OR(E6="",H6=""),"",E6-H6)</f>
        <v>109.898621545095</v>
      </c>
      <c r="J6" s="21" t="n">
        <f aca="false">IF(B6="","",B6*RefiCostPct)</f>
        <v>5125</v>
      </c>
      <c r="K6" s="60" t="n">
        <f aca="false">IFERROR(IF(I6&lt;=0,"No savings",J6/I6),"")</f>
        <v>46.6338879227618</v>
      </c>
      <c r="L6" s="18" t="str">
        <f aca="false">IF(I6="","",IF(C6-F6&lt;0.005,"Skip - rate already low",IF(I6&lt;=0,"Skip - no savings",IF(AND(I6&gt;=RefiThreshold,K6&lt;=24),"REFI NOW",IF(I6&gt;=RefiThreshold,"Refi if staying long","Below threshold")))))</f>
        <v>Below threshold</v>
      </c>
    </row>
    <row r="7" customFormat="false" ht="21.75" hidden="false" customHeight="true" outlineLevel="0" collapsed="false">
      <c r="A7" s="61" t="str">
        <f aca="false">IF(Properties!B7="","",Properties!B7)</f>
        <v/>
      </c>
      <c r="B7" s="62" t="str">
        <f aca="false">IF(Properties!L7="","",Properties!L7)</f>
        <v/>
      </c>
      <c r="C7" s="63" t="str">
        <f aca="false">IF(Properties!O7="","",Properties!O7)</f>
        <v/>
      </c>
      <c r="D7" s="25"/>
      <c r="E7" s="62" t="str">
        <f aca="false">IF(Properties!Q7="","",Properties!Q7)</f>
        <v/>
      </c>
      <c r="F7" s="28" t="n">
        <f aca="false">MarketRate30</f>
        <v>0.0668</v>
      </c>
      <c r="G7" s="25"/>
      <c r="H7" s="27" t="str">
        <f aca="false">IF(OR(B7="",F7="",G7=""),"",PMT(F7/12,G7*12,-B7))</f>
        <v/>
      </c>
      <c r="I7" s="27" t="str">
        <f aca="false">IF(OR(E7="",H7=""),"",E7-H7)</f>
        <v/>
      </c>
      <c r="J7" s="27" t="str">
        <f aca="false">IF(B7="","",B7*RefiCostPct)</f>
        <v/>
      </c>
      <c r="K7" s="64" t="str">
        <f aca="false">IFERROR(IF(I7&lt;=0,"No savings",J7/I7),"")</f>
        <v/>
      </c>
      <c r="L7" s="24" t="str">
        <f aca="false">IF(I7="","",IF(C7-F7&lt;0.005,"Skip - rate already low",IF(I7&lt;=0,"Skip - no savings",IF(AND(I7&gt;=RefiThreshold,K7&lt;=24),"REFI NOW",IF(I7&gt;=RefiThreshold,"Refi if staying long","Below threshold")))))</f>
        <v/>
      </c>
    </row>
    <row r="8" customFormat="false" ht="21.75" hidden="false" customHeight="true" outlineLevel="0" collapsed="false">
      <c r="A8" s="57" t="str">
        <f aca="false">IF(Properties!B8="","",Properties!B8)</f>
        <v/>
      </c>
      <c r="B8" s="58" t="str">
        <f aca="false">IF(Properties!L8="","",Properties!L8)</f>
        <v/>
      </c>
      <c r="C8" s="59" t="str">
        <f aca="false">IF(Properties!O8="","",Properties!O8)</f>
        <v/>
      </c>
      <c r="D8" s="19"/>
      <c r="E8" s="58" t="str">
        <f aca="false">IF(Properties!Q8="","",Properties!Q8)</f>
        <v/>
      </c>
      <c r="F8" s="22" t="n">
        <f aca="false">MarketRate30</f>
        <v>0.0668</v>
      </c>
      <c r="G8" s="19"/>
      <c r="H8" s="21" t="str">
        <f aca="false">IF(OR(B8="",F8="",G8=""),"",PMT(F8/12,G8*12,-B8))</f>
        <v/>
      </c>
      <c r="I8" s="21" t="str">
        <f aca="false">IF(OR(E8="",H8=""),"",E8-H8)</f>
        <v/>
      </c>
      <c r="J8" s="21" t="str">
        <f aca="false">IF(B8="","",B8*RefiCostPct)</f>
        <v/>
      </c>
      <c r="K8" s="60" t="str">
        <f aca="false">IFERROR(IF(I8&lt;=0,"No savings",J8/I8),"")</f>
        <v/>
      </c>
      <c r="L8" s="18" t="str">
        <f aca="false">IF(I8="","",IF(C8-F8&lt;0.005,"Skip - rate already low",IF(I8&lt;=0,"Skip - no savings",IF(AND(I8&gt;=RefiThreshold,K8&lt;=24),"REFI NOW",IF(I8&gt;=RefiThreshold,"Refi if staying long","Below threshold")))))</f>
        <v/>
      </c>
    </row>
    <row r="9" customFormat="false" ht="21.75" hidden="false" customHeight="true" outlineLevel="0" collapsed="false">
      <c r="A9" s="61" t="str">
        <f aca="false">IF(Properties!B9="","",Properties!B9)</f>
        <v/>
      </c>
      <c r="B9" s="62" t="str">
        <f aca="false">IF(Properties!L9="","",Properties!L9)</f>
        <v/>
      </c>
      <c r="C9" s="63" t="str">
        <f aca="false">IF(Properties!O9="","",Properties!O9)</f>
        <v/>
      </c>
      <c r="D9" s="25"/>
      <c r="E9" s="62" t="str">
        <f aca="false">IF(Properties!Q9="","",Properties!Q9)</f>
        <v/>
      </c>
      <c r="F9" s="28" t="n">
        <f aca="false">MarketRate30</f>
        <v>0.0668</v>
      </c>
      <c r="G9" s="25"/>
      <c r="H9" s="27" t="str">
        <f aca="false">IF(OR(B9="",F9="",G9=""),"",PMT(F9/12,G9*12,-B9))</f>
        <v/>
      </c>
      <c r="I9" s="27" t="str">
        <f aca="false">IF(OR(E9="",H9=""),"",E9-H9)</f>
        <v/>
      </c>
      <c r="J9" s="27" t="str">
        <f aca="false">IF(B9="","",B9*RefiCostPct)</f>
        <v/>
      </c>
      <c r="K9" s="64" t="str">
        <f aca="false">IFERROR(IF(I9&lt;=0,"No savings",J9/I9),"")</f>
        <v/>
      </c>
      <c r="L9" s="24" t="str">
        <f aca="false">IF(I9="","",IF(C9-F9&lt;0.005,"Skip - rate already low",IF(I9&lt;=0,"Skip - no savings",IF(AND(I9&gt;=RefiThreshold,K9&lt;=24),"REFI NOW",IF(I9&gt;=RefiThreshold,"Refi if staying long","Below threshold")))))</f>
        <v/>
      </c>
    </row>
    <row r="10" customFormat="false" ht="21.75" hidden="false" customHeight="true" outlineLevel="0" collapsed="false">
      <c r="A10" s="57" t="str">
        <f aca="false">IF(Properties!B10="","",Properties!B10)</f>
        <v/>
      </c>
      <c r="B10" s="58" t="str">
        <f aca="false">IF(Properties!L10="","",Properties!L10)</f>
        <v/>
      </c>
      <c r="C10" s="59" t="str">
        <f aca="false">IF(Properties!O10="","",Properties!O10)</f>
        <v/>
      </c>
      <c r="D10" s="19"/>
      <c r="E10" s="58" t="str">
        <f aca="false">IF(Properties!Q10="","",Properties!Q10)</f>
        <v/>
      </c>
      <c r="F10" s="22" t="n">
        <f aca="false">MarketRate30</f>
        <v>0.0668</v>
      </c>
      <c r="G10" s="19"/>
      <c r="H10" s="21" t="str">
        <f aca="false">IF(OR(B10="",F10="",G10=""),"",PMT(F10/12,G10*12,-B10))</f>
        <v/>
      </c>
      <c r="I10" s="21" t="str">
        <f aca="false">IF(OR(E10="",H10=""),"",E10-H10)</f>
        <v/>
      </c>
      <c r="J10" s="21" t="str">
        <f aca="false">IF(B10="","",B10*RefiCostPct)</f>
        <v/>
      </c>
      <c r="K10" s="60" t="str">
        <f aca="false">IFERROR(IF(I10&lt;=0,"No savings",J10/I10),"")</f>
        <v/>
      </c>
      <c r="L10" s="18" t="str">
        <f aca="false">IF(I10="","",IF(C10-F10&lt;0.005,"Skip - rate already low",IF(I10&lt;=0,"Skip - no savings",IF(AND(I10&gt;=RefiThreshold,K10&lt;=24),"REFI NOW",IF(I10&gt;=RefiThreshold,"Refi if staying long","Below threshold")))))</f>
        <v/>
      </c>
    </row>
    <row r="11" customFormat="false" ht="21.75" hidden="false" customHeight="true" outlineLevel="0" collapsed="false">
      <c r="A11" s="61" t="str">
        <f aca="false">IF(Properties!B11="","",Properties!B11)</f>
        <v/>
      </c>
      <c r="B11" s="62" t="str">
        <f aca="false">IF(Properties!L11="","",Properties!L11)</f>
        <v/>
      </c>
      <c r="C11" s="63" t="str">
        <f aca="false">IF(Properties!O11="","",Properties!O11)</f>
        <v/>
      </c>
      <c r="D11" s="25"/>
      <c r="E11" s="62" t="str">
        <f aca="false">IF(Properties!Q11="","",Properties!Q11)</f>
        <v/>
      </c>
      <c r="F11" s="28" t="n">
        <f aca="false">MarketRate30</f>
        <v>0.0668</v>
      </c>
      <c r="G11" s="25"/>
      <c r="H11" s="27" t="str">
        <f aca="false">IF(OR(B11="",F11="",G11=""),"",PMT(F11/12,G11*12,-B11))</f>
        <v/>
      </c>
      <c r="I11" s="27" t="str">
        <f aca="false">IF(OR(E11="",H11=""),"",E11-H11)</f>
        <v/>
      </c>
      <c r="J11" s="27" t="str">
        <f aca="false">IF(B11="","",B11*RefiCostPct)</f>
        <v/>
      </c>
      <c r="K11" s="64" t="str">
        <f aca="false">IFERROR(IF(I11&lt;=0,"No savings",J11/I11),"")</f>
        <v/>
      </c>
      <c r="L11" s="24" t="str">
        <f aca="false">IF(I11="","",IF(C11-F11&lt;0.005,"Skip - rate already low",IF(I11&lt;=0,"Skip - no savings",IF(AND(I11&gt;=RefiThreshold,K11&lt;=24),"REFI NOW",IF(I11&gt;=RefiThreshold,"Refi if staying long","Below threshold")))))</f>
        <v/>
      </c>
    </row>
    <row r="12" customFormat="false" ht="21.75" hidden="false" customHeight="true" outlineLevel="0" collapsed="false">
      <c r="A12" s="57" t="str">
        <f aca="false">IF(Properties!B12="","",Properties!B12)</f>
        <v/>
      </c>
      <c r="B12" s="58" t="str">
        <f aca="false">IF(Properties!L12="","",Properties!L12)</f>
        <v/>
      </c>
      <c r="C12" s="59" t="str">
        <f aca="false">IF(Properties!O12="","",Properties!O12)</f>
        <v/>
      </c>
      <c r="D12" s="19"/>
      <c r="E12" s="58" t="str">
        <f aca="false">IF(Properties!Q12="","",Properties!Q12)</f>
        <v/>
      </c>
      <c r="F12" s="22" t="n">
        <f aca="false">MarketRate30</f>
        <v>0.0668</v>
      </c>
      <c r="G12" s="19"/>
      <c r="H12" s="21" t="str">
        <f aca="false">IF(OR(B12="",F12="",G12=""),"",PMT(F12/12,G12*12,-B12))</f>
        <v/>
      </c>
      <c r="I12" s="21" t="str">
        <f aca="false">IF(OR(E12="",H12=""),"",E12-H12)</f>
        <v/>
      </c>
      <c r="J12" s="21" t="str">
        <f aca="false">IF(B12="","",B12*RefiCostPct)</f>
        <v/>
      </c>
      <c r="K12" s="60" t="str">
        <f aca="false">IFERROR(IF(I12&lt;=0,"No savings",J12/I12),"")</f>
        <v/>
      </c>
      <c r="L12" s="18" t="str">
        <f aca="false">IF(I12="","",IF(C12-F12&lt;0.005,"Skip - rate already low",IF(I12&lt;=0,"Skip - no savings",IF(AND(I12&gt;=RefiThreshold,K12&lt;=24),"REFI NOW",IF(I12&gt;=RefiThreshold,"Refi if staying long","Below threshold")))))</f>
        <v/>
      </c>
    </row>
    <row r="13" customFormat="false" ht="21.75" hidden="false" customHeight="true" outlineLevel="0" collapsed="false">
      <c r="A13" s="61" t="str">
        <f aca="false">IF(Properties!B13="","",Properties!B13)</f>
        <v/>
      </c>
      <c r="B13" s="62" t="str">
        <f aca="false">IF(Properties!L13="","",Properties!L13)</f>
        <v/>
      </c>
      <c r="C13" s="63" t="str">
        <f aca="false">IF(Properties!O13="","",Properties!O13)</f>
        <v/>
      </c>
      <c r="D13" s="25"/>
      <c r="E13" s="62" t="str">
        <f aca="false">IF(Properties!Q13="","",Properties!Q13)</f>
        <v/>
      </c>
      <c r="F13" s="28" t="n">
        <f aca="false">MarketRate30</f>
        <v>0.0668</v>
      </c>
      <c r="G13" s="25"/>
      <c r="H13" s="27" t="str">
        <f aca="false">IF(OR(B13="",F13="",G13=""),"",PMT(F13/12,G13*12,-B13))</f>
        <v/>
      </c>
      <c r="I13" s="27" t="str">
        <f aca="false">IF(OR(E13="",H13=""),"",E13-H13)</f>
        <v/>
      </c>
      <c r="J13" s="27" t="str">
        <f aca="false">IF(B13="","",B13*RefiCostPct)</f>
        <v/>
      </c>
      <c r="K13" s="64" t="str">
        <f aca="false">IFERROR(IF(I13&lt;=0,"No savings",J13/I13),"")</f>
        <v/>
      </c>
      <c r="L13" s="24" t="str">
        <f aca="false">IF(I13="","",IF(C13-F13&lt;0.005,"Skip - rate already low",IF(I13&lt;=0,"Skip - no savings",IF(AND(I13&gt;=RefiThreshold,K13&lt;=24),"REFI NOW",IF(I13&gt;=RefiThreshold,"Refi if staying long","Below threshold")))))</f>
        <v/>
      </c>
    </row>
    <row r="14" customFormat="false" ht="21.75" hidden="false" customHeight="true" outlineLevel="0" collapsed="false">
      <c r="A14" s="57" t="str">
        <f aca="false">IF(Properties!B14="","",Properties!B14)</f>
        <v/>
      </c>
      <c r="B14" s="58" t="str">
        <f aca="false">IF(Properties!L14="","",Properties!L14)</f>
        <v/>
      </c>
      <c r="C14" s="59" t="str">
        <f aca="false">IF(Properties!O14="","",Properties!O14)</f>
        <v/>
      </c>
      <c r="D14" s="19"/>
      <c r="E14" s="58" t="str">
        <f aca="false">IF(Properties!Q14="","",Properties!Q14)</f>
        <v/>
      </c>
      <c r="F14" s="22" t="n">
        <f aca="false">MarketRate30</f>
        <v>0.0668</v>
      </c>
      <c r="G14" s="19"/>
      <c r="H14" s="21" t="str">
        <f aca="false">IF(OR(B14="",F14="",G14=""),"",PMT(F14/12,G14*12,-B14))</f>
        <v/>
      </c>
      <c r="I14" s="21" t="str">
        <f aca="false">IF(OR(E14="",H14=""),"",E14-H14)</f>
        <v/>
      </c>
      <c r="J14" s="21" t="str">
        <f aca="false">IF(B14="","",B14*RefiCostPct)</f>
        <v/>
      </c>
      <c r="K14" s="60" t="str">
        <f aca="false">IFERROR(IF(I14&lt;=0,"No savings",J14/I14),"")</f>
        <v/>
      </c>
      <c r="L14" s="18" t="str">
        <f aca="false">IF(I14="","",IF(C14-F14&lt;0.005,"Skip - rate already low",IF(I14&lt;=0,"Skip - no savings",IF(AND(I14&gt;=RefiThreshold,K14&lt;=24),"REFI NOW",IF(I14&gt;=RefiThreshold,"Refi if staying long","Below threshold")))))</f>
        <v/>
      </c>
    </row>
    <row r="15" customFormat="false" ht="21.75" hidden="false" customHeight="true" outlineLevel="0" collapsed="false">
      <c r="A15" s="61" t="str">
        <f aca="false">IF(Properties!B15="","",Properties!B15)</f>
        <v/>
      </c>
      <c r="B15" s="62" t="str">
        <f aca="false">IF(Properties!L15="","",Properties!L15)</f>
        <v/>
      </c>
      <c r="C15" s="63" t="str">
        <f aca="false">IF(Properties!O15="","",Properties!O15)</f>
        <v/>
      </c>
      <c r="D15" s="25"/>
      <c r="E15" s="62" t="str">
        <f aca="false">IF(Properties!Q15="","",Properties!Q15)</f>
        <v/>
      </c>
      <c r="F15" s="28" t="n">
        <f aca="false">MarketRate30</f>
        <v>0.0668</v>
      </c>
      <c r="G15" s="25"/>
      <c r="H15" s="27" t="str">
        <f aca="false">IF(OR(B15="",F15="",G15=""),"",PMT(F15/12,G15*12,-B15))</f>
        <v/>
      </c>
      <c r="I15" s="27" t="str">
        <f aca="false">IF(OR(E15="",H15=""),"",E15-H15)</f>
        <v/>
      </c>
      <c r="J15" s="27" t="str">
        <f aca="false">IF(B15="","",B15*RefiCostPct)</f>
        <v/>
      </c>
      <c r="K15" s="64" t="str">
        <f aca="false">IFERROR(IF(I15&lt;=0,"No savings",J15/I15),"")</f>
        <v/>
      </c>
      <c r="L15" s="24" t="str">
        <f aca="false">IF(I15="","",IF(C15-F15&lt;0.005,"Skip - rate already low",IF(I15&lt;=0,"Skip - no savings",IF(AND(I15&gt;=RefiThreshold,K15&lt;=24),"REFI NOW",IF(I15&gt;=RefiThreshold,"Refi if staying long","Below threshold")))))</f>
        <v/>
      </c>
    </row>
    <row r="16" customFormat="false" ht="21.75" hidden="false" customHeight="true" outlineLevel="0" collapsed="false">
      <c r="A16" s="57" t="str">
        <f aca="false">IF(Properties!B16="","",Properties!B16)</f>
        <v/>
      </c>
      <c r="B16" s="58" t="str">
        <f aca="false">IF(Properties!L16="","",Properties!L16)</f>
        <v/>
      </c>
      <c r="C16" s="59" t="str">
        <f aca="false">IF(Properties!O16="","",Properties!O16)</f>
        <v/>
      </c>
      <c r="D16" s="19"/>
      <c r="E16" s="58" t="str">
        <f aca="false">IF(Properties!Q16="","",Properties!Q16)</f>
        <v/>
      </c>
      <c r="F16" s="22" t="n">
        <f aca="false">MarketRate30</f>
        <v>0.0668</v>
      </c>
      <c r="G16" s="19"/>
      <c r="H16" s="21" t="str">
        <f aca="false">IF(OR(B16="",F16="",G16=""),"",PMT(F16/12,G16*12,-B16))</f>
        <v/>
      </c>
      <c r="I16" s="21" t="str">
        <f aca="false">IF(OR(E16="",H16=""),"",E16-H16)</f>
        <v/>
      </c>
      <c r="J16" s="21" t="str">
        <f aca="false">IF(B16="","",B16*RefiCostPct)</f>
        <v/>
      </c>
      <c r="K16" s="60" t="str">
        <f aca="false">IFERROR(IF(I16&lt;=0,"No savings",J16/I16),"")</f>
        <v/>
      </c>
      <c r="L16" s="18" t="str">
        <f aca="false">IF(I16="","",IF(C16-F16&lt;0.005,"Skip - rate already low",IF(I16&lt;=0,"Skip - no savings",IF(AND(I16&gt;=RefiThreshold,K16&lt;=24),"REFI NOW",IF(I16&gt;=RefiThreshold,"Refi if staying long","Below threshold")))))</f>
        <v/>
      </c>
    </row>
    <row r="17" customFormat="false" ht="21.75" hidden="false" customHeight="true" outlineLevel="0" collapsed="false">
      <c r="A17" s="61" t="str">
        <f aca="false">IF(Properties!B17="","",Properties!B17)</f>
        <v/>
      </c>
      <c r="B17" s="62" t="str">
        <f aca="false">IF(Properties!L17="","",Properties!L17)</f>
        <v/>
      </c>
      <c r="C17" s="63" t="str">
        <f aca="false">IF(Properties!O17="","",Properties!O17)</f>
        <v/>
      </c>
      <c r="D17" s="25"/>
      <c r="E17" s="62" t="str">
        <f aca="false">IF(Properties!Q17="","",Properties!Q17)</f>
        <v/>
      </c>
      <c r="F17" s="28" t="n">
        <f aca="false">MarketRate30</f>
        <v>0.0668</v>
      </c>
      <c r="G17" s="25"/>
      <c r="H17" s="27" t="str">
        <f aca="false">IF(OR(B17="",F17="",G17=""),"",PMT(F17/12,G17*12,-B17))</f>
        <v/>
      </c>
      <c r="I17" s="27" t="str">
        <f aca="false">IF(OR(E17="",H17=""),"",E17-H17)</f>
        <v/>
      </c>
      <c r="J17" s="27" t="str">
        <f aca="false">IF(B17="","",B17*RefiCostPct)</f>
        <v/>
      </c>
      <c r="K17" s="64" t="str">
        <f aca="false">IFERROR(IF(I17&lt;=0,"No savings",J17/I17),"")</f>
        <v/>
      </c>
      <c r="L17" s="24" t="str">
        <f aca="false">IF(I17="","",IF(C17-F17&lt;0.005,"Skip - rate already low",IF(I17&lt;=0,"Skip - no savings",IF(AND(I17&gt;=RefiThreshold,K17&lt;=24),"REFI NOW",IF(I17&gt;=RefiThreshold,"Refi if staying long","Below threshold")))))</f>
        <v/>
      </c>
    </row>
    <row r="18" customFormat="false" ht="21.75" hidden="false" customHeight="true" outlineLevel="0" collapsed="false">
      <c r="A18" s="57" t="str">
        <f aca="false">IF(Properties!B18="","",Properties!B18)</f>
        <v/>
      </c>
      <c r="B18" s="58" t="str">
        <f aca="false">IF(Properties!L18="","",Properties!L18)</f>
        <v/>
      </c>
      <c r="C18" s="59" t="str">
        <f aca="false">IF(Properties!O18="","",Properties!O18)</f>
        <v/>
      </c>
      <c r="D18" s="19"/>
      <c r="E18" s="58" t="str">
        <f aca="false">IF(Properties!Q18="","",Properties!Q18)</f>
        <v/>
      </c>
      <c r="F18" s="22" t="n">
        <f aca="false">MarketRate30</f>
        <v>0.0668</v>
      </c>
      <c r="G18" s="19"/>
      <c r="H18" s="21" t="str">
        <f aca="false">IF(OR(B18="",F18="",G18=""),"",PMT(F18/12,G18*12,-B18))</f>
        <v/>
      </c>
      <c r="I18" s="21" t="str">
        <f aca="false">IF(OR(E18="",H18=""),"",E18-H18)</f>
        <v/>
      </c>
      <c r="J18" s="21" t="str">
        <f aca="false">IF(B18="","",B18*RefiCostPct)</f>
        <v/>
      </c>
      <c r="K18" s="60" t="str">
        <f aca="false">IFERROR(IF(I18&lt;=0,"No savings",J18/I18),"")</f>
        <v/>
      </c>
      <c r="L18" s="18" t="str">
        <f aca="false">IF(I18="","",IF(C18-F18&lt;0.005,"Skip - rate already low",IF(I18&lt;=0,"Skip - no savings",IF(AND(I18&gt;=RefiThreshold,K18&lt;=24),"REFI NOW",IF(I18&gt;=RefiThreshold,"Refi if staying long","Below threshold")))))</f>
        <v/>
      </c>
    </row>
    <row r="19" customFormat="false" ht="21.75" hidden="false" customHeight="true" outlineLevel="0" collapsed="false">
      <c r="A19" s="61" t="str">
        <f aca="false">IF(Properties!B19="","",Properties!B19)</f>
        <v/>
      </c>
      <c r="B19" s="62" t="str">
        <f aca="false">IF(Properties!L19="","",Properties!L19)</f>
        <v/>
      </c>
      <c r="C19" s="63" t="str">
        <f aca="false">IF(Properties!O19="","",Properties!O19)</f>
        <v/>
      </c>
      <c r="D19" s="25"/>
      <c r="E19" s="62" t="str">
        <f aca="false">IF(Properties!Q19="","",Properties!Q19)</f>
        <v/>
      </c>
      <c r="F19" s="28" t="n">
        <f aca="false">MarketRate30</f>
        <v>0.0668</v>
      </c>
      <c r="G19" s="25"/>
      <c r="H19" s="27" t="str">
        <f aca="false">IF(OR(B19="",F19="",G19=""),"",PMT(F19/12,G19*12,-B19))</f>
        <v/>
      </c>
      <c r="I19" s="27" t="str">
        <f aca="false">IF(OR(E19="",H19=""),"",E19-H19)</f>
        <v/>
      </c>
      <c r="J19" s="27" t="str">
        <f aca="false">IF(B19="","",B19*RefiCostPct)</f>
        <v/>
      </c>
      <c r="K19" s="64" t="str">
        <f aca="false">IFERROR(IF(I19&lt;=0,"No savings",J19/I19),"")</f>
        <v/>
      </c>
      <c r="L19" s="24" t="str">
        <f aca="false">IF(I19="","",IF(C19-F19&lt;0.005,"Skip - rate already low",IF(I19&lt;=0,"Skip - no savings",IF(AND(I19&gt;=RefiThreshold,K19&lt;=24),"REFI NOW",IF(I19&gt;=RefiThreshold,"Refi if staying long","Below threshold")))))</f>
        <v/>
      </c>
    </row>
    <row r="20" customFormat="false" ht="21.75" hidden="false" customHeight="true" outlineLevel="0" collapsed="false">
      <c r="A20" s="57" t="str">
        <f aca="false">IF(Properties!B20="","",Properties!B20)</f>
        <v/>
      </c>
      <c r="B20" s="58" t="str">
        <f aca="false">IF(Properties!L20="","",Properties!L20)</f>
        <v/>
      </c>
      <c r="C20" s="59" t="str">
        <f aca="false">IF(Properties!O20="","",Properties!O20)</f>
        <v/>
      </c>
      <c r="D20" s="19"/>
      <c r="E20" s="58" t="str">
        <f aca="false">IF(Properties!Q20="","",Properties!Q20)</f>
        <v/>
      </c>
      <c r="F20" s="22" t="n">
        <f aca="false">MarketRate30</f>
        <v>0.0668</v>
      </c>
      <c r="G20" s="19"/>
      <c r="H20" s="21" t="str">
        <f aca="false">IF(OR(B20="",F20="",G20=""),"",PMT(F20/12,G20*12,-B20))</f>
        <v/>
      </c>
      <c r="I20" s="21" t="str">
        <f aca="false">IF(OR(E20="",H20=""),"",E20-H20)</f>
        <v/>
      </c>
      <c r="J20" s="21" t="str">
        <f aca="false">IF(B20="","",B20*RefiCostPct)</f>
        <v/>
      </c>
      <c r="K20" s="60" t="str">
        <f aca="false">IFERROR(IF(I20&lt;=0,"No savings",J20/I20),"")</f>
        <v/>
      </c>
      <c r="L20" s="18" t="str">
        <f aca="false">IF(I20="","",IF(C20-F20&lt;0.005,"Skip - rate already low",IF(I20&lt;=0,"Skip - no savings",IF(AND(I20&gt;=RefiThreshold,K20&lt;=24),"REFI NOW",IF(I20&gt;=RefiThreshold,"Refi if staying long","Below threshold")))))</f>
        <v/>
      </c>
    </row>
    <row r="21" customFormat="false" ht="21.75" hidden="false" customHeight="true" outlineLevel="0" collapsed="false">
      <c r="A21" s="61" t="str">
        <f aca="false">IF(Properties!B21="","",Properties!B21)</f>
        <v/>
      </c>
      <c r="B21" s="62" t="str">
        <f aca="false">IF(Properties!L21="","",Properties!L21)</f>
        <v/>
      </c>
      <c r="C21" s="63" t="str">
        <f aca="false">IF(Properties!O21="","",Properties!O21)</f>
        <v/>
      </c>
      <c r="D21" s="25"/>
      <c r="E21" s="62" t="str">
        <f aca="false">IF(Properties!Q21="","",Properties!Q21)</f>
        <v/>
      </c>
      <c r="F21" s="28" t="n">
        <f aca="false">MarketRate30</f>
        <v>0.0668</v>
      </c>
      <c r="G21" s="25"/>
      <c r="H21" s="27" t="str">
        <f aca="false">IF(OR(B21="",F21="",G21=""),"",PMT(F21/12,G21*12,-B21))</f>
        <v/>
      </c>
      <c r="I21" s="27" t="str">
        <f aca="false">IF(OR(E21="",H21=""),"",E21-H21)</f>
        <v/>
      </c>
      <c r="J21" s="27" t="str">
        <f aca="false">IF(B21="","",B21*RefiCostPct)</f>
        <v/>
      </c>
      <c r="K21" s="64" t="str">
        <f aca="false">IFERROR(IF(I21&lt;=0,"No savings",J21/I21),"")</f>
        <v/>
      </c>
      <c r="L21" s="24" t="str">
        <f aca="false">IF(I21="","",IF(C21-F21&lt;0.005,"Skip - rate already low",IF(I21&lt;=0,"Skip - no savings",IF(AND(I21&gt;=RefiThreshold,K21&lt;=24),"REFI NOW",IF(I21&gt;=RefiThreshold,"Refi if staying long","Below threshold")))))</f>
        <v/>
      </c>
    </row>
    <row r="22" customFormat="false" ht="21.75" hidden="false" customHeight="true" outlineLevel="0" collapsed="false">
      <c r="A22" s="57" t="str">
        <f aca="false">IF(Properties!B22="","",Properties!B22)</f>
        <v/>
      </c>
      <c r="B22" s="58" t="str">
        <f aca="false">IF(Properties!L22="","",Properties!L22)</f>
        <v/>
      </c>
      <c r="C22" s="59" t="str">
        <f aca="false">IF(Properties!O22="","",Properties!O22)</f>
        <v/>
      </c>
      <c r="D22" s="19"/>
      <c r="E22" s="58" t="str">
        <f aca="false">IF(Properties!Q22="","",Properties!Q22)</f>
        <v/>
      </c>
      <c r="F22" s="22" t="n">
        <f aca="false">MarketRate30</f>
        <v>0.0668</v>
      </c>
      <c r="G22" s="19"/>
      <c r="H22" s="21" t="str">
        <f aca="false">IF(OR(B22="",F22="",G22=""),"",PMT(F22/12,G22*12,-B22))</f>
        <v/>
      </c>
      <c r="I22" s="21" t="str">
        <f aca="false">IF(OR(E22="",H22=""),"",E22-H22)</f>
        <v/>
      </c>
      <c r="J22" s="21" t="str">
        <f aca="false">IF(B22="","",B22*RefiCostPct)</f>
        <v/>
      </c>
      <c r="K22" s="60" t="str">
        <f aca="false">IFERROR(IF(I22&lt;=0,"No savings",J22/I22),"")</f>
        <v/>
      </c>
      <c r="L22" s="18" t="str">
        <f aca="false">IF(I22="","",IF(C22-F22&lt;0.005,"Skip - rate already low",IF(I22&lt;=0,"Skip - no savings",IF(AND(I22&gt;=RefiThreshold,K22&lt;=24),"REFI NOW",IF(I22&gt;=RefiThreshold,"Refi if staying long","Below threshold")))))</f>
        <v/>
      </c>
    </row>
    <row r="23" customFormat="false" ht="21.75" hidden="false" customHeight="true" outlineLevel="0" collapsed="false">
      <c r="A23" s="61" t="str">
        <f aca="false">IF(Properties!B23="","",Properties!B23)</f>
        <v/>
      </c>
      <c r="B23" s="62" t="str">
        <f aca="false">IF(Properties!L23="","",Properties!L23)</f>
        <v/>
      </c>
      <c r="C23" s="63" t="str">
        <f aca="false">IF(Properties!O23="","",Properties!O23)</f>
        <v/>
      </c>
      <c r="D23" s="25"/>
      <c r="E23" s="62" t="str">
        <f aca="false">IF(Properties!Q23="","",Properties!Q23)</f>
        <v/>
      </c>
      <c r="F23" s="28" t="n">
        <f aca="false">MarketRate30</f>
        <v>0.0668</v>
      </c>
      <c r="G23" s="25"/>
      <c r="H23" s="27" t="str">
        <f aca="false">IF(OR(B23="",F23="",G23=""),"",PMT(F23/12,G23*12,-B23))</f>
        <v/>
      </c>
      <c r="I23" s="27" t="str">
        <f aca="false">IF(OR(E23="",H23=""),"",E23-H23)</f>
        <v/>
      </c>
      <c r="J23" s="27" t="str">
        <f aca="false">IF(B23="","",B23*RefiCostPct)</f>
        <v/>
      </c>
      <c r="K23" s="64" t="str">
        <f aca="false">IFERROR(IF(I23&lt;=0,"No savings",J23/I23),"")</f>
        <v/>
      </c>
      <c r="L23" s="24" t="str">
        <f aca="false">IF(I23="","",IF(C23-F23&lt;0.005,"Skip - rate already low",IF(I23&lt;=0,"Skip - no savings",IF(AND(I23&gt;=RefiThreshold,K23&lt;=24),"REFI NOW",IF(I23&gt;=RefiThreshold,"Refi if staying long","Below threshold")))))</f>
        <v/>
      </c>
    </row>
    <row r="24" customFormat="false" ht="21.75" hidden="false" customHeight="true" outlineLevel="0" collapsed="false">
      <c r="A24" s="57" t="str">
        <f aca="false">IF(Properties!B24="","",Properties!B24)</f>
        <v/>
      </c>
      <c r="B24" s="58" t="str">
        <f aca="false">IF(Properties!L24="","",Properties!L24)</f>
        <v/>
      </c>
      <c r="C24" s="59" t="str">
        <f aca="false">IF(Properties!O24="","",Properties!O24)</f>
        <v/>
      </c>
      <c r="D24" s="19"/>
      <c r="E24" s="58" t="str">
        <f aca="false">IF(Properties!Q24="","",Properties!Q24)</f>
        <v/>
      </c>
      <c r="F24" s="22" t="n">
        <f aca="false">MarketRate30</f>
        <v>0.0668</v>
      </c>
      <c r="G24" s="19"/>
      <c r="H24" s="21" t="str">
        <f aca="false">IF(OR(B24="",F24="",G24=""),"",PMT(F24/12,G24*12,-B24))</f>
        <v/>
      </c>
      <c r="I24" s="21" t="str">
        <f aca="false">IF(OR(E24="",H24=""),"",E24-H24)</f>
        <v/>
      </c>
      <c r="J24" s="21" t="str">
        <f aca="false">IF(B24="","",B24*RefiCostPct)</f>
        <v/>
      </c>
      <c r="K24" s="60" t="str">
        <f aca="false">IFERROR(IF(I24&lt;=0,"No savings",J24/I24),"")</f>
        <v/>
      </c>
      <c r="L24" s="18" t="str">
        <f aca="false">IF(I24="","",IF(C24-F24&lt;0.005,"Skip - rate already low",IF(I24&lt;=0,"Skip - no savings",IF(AND(I24&gt;=RefiThreshold,K24&lt;=24),"REFI NOW",IF(I24&gt;=RefiThreshold,"Refi if staying long","Below threshold")))))</f>
        <v/>
      </c>
    </row>
    <row r="25" customFormat="false" ht="21.75" hidden="false" customHeight="true" outlineLevel="0" collapsed="false">
      <c r="A25" s="61" t="str">
        <f aca="false">IF(Properties!B25="","",Properties!B25)</f>
        <v/>
      </c>
      <c r="B25" s="62" t="str">
        <f aca="false">IF(Properties!L25="","",Properties!L25)</f>
        <v/>
      </c>
      <c r="C25" s="63" t="str">
        <f aca="false">IF(Properties!O25="","",Properties!O25)</f>
        <v/>
      </c>
      <c r="D25" s="25"/>
      <c r="E25" s="62" t="str">
        <f aca="false">IF(Properties!Q25="","",Properties!Q25)</f>
        <v/>
      </c>
      <c r="F25" s="28" t="n">
        <f aca="false">MarketRate30</f>
        <v>0.0668</v>
      </c>
      <c r="G25" s="25"/>
      <c r="H25" s="27" t="str">
        <f aca="false">IF(OR(B25="",F25="",G25=""),"",PMT(F25/12,G25*12,-B25))</f>
        <v/>
      </c>
      <c r="I25" s="27" t="str">
        <f aca="false">IF(OR(E25="",H25=""),"",E25-H25)</f>
        <v/>
      </c>
      <c r="J25" s="27" t="str">
        <f aca="false">IF(B25="","",B25*RefiCostPct)</f>
        <v/>
      </c>
      <c r="K25" s="64" t="str">
        <f aca="false">IFERROR(IF(I25&lt;=0,"No savings",J25/I25),"")</f>
        <v/>
      </c>
      <c r="L25" s="24" t="str">
        <f aca="false">IF(I25="","",IF(C25-F25&lt;0.005,"Skip - rate already low",IF(I25&lt;=0,"Skip - no savings",IF(AND(I25&gt;=RefiThreshold,K25&lt;=24),"REFI NOW",IF(I25&gt;=RefiThreshold,"Refi if staying long","Below threshold")))))</f>
        <v/>
      </c>
    </row>
    <row r="26" customFormat="false" ht="21.75" hidden="false" customHeight="true" outlineLevel="0" collapsed="false">
      <c r="A26" s="57" t="str">
        <f aca="false">IF(Properties!B26="","",Properties!B26)</f>
        <v/>
      </c>
      <c r="B26" s="58" t="str">
        <f aca="false">IF(Properties!L26="","",Properties!L26)</f>
        <v/>
      </c>
      <c r="C26" s="59" t="str">
        <f aca="false">IF(Properties!O26="","",Properties!O26)</f>
        <v/>
      </c>
      <c r="D26" s="19"/>
      <c r="E26" s="58" t="str">
        <f aca="false">IF(Properties!Q26="","",Properties!Q26)</f>
        <v/>
      </c>
      <c r="F26" s="22" t="n">
        <f aca="false">MarketRate30</f>
        <v>0.0668</v>
      </c>
      <c r="G26" s="19"/>
      <c r="H26" s="21" t="str">
        <f aca="false">IF(OR(B26="",F26="",G26=""),"",PMT(F26/12,G26*12,-B26))</f>
        <v/>
      </c>
      <c r="I26" s="21" t="str">
        <f aca="false">IF(OR(E26="",H26=""),"",E26-H26)</f>
        <v/>
      </c>
      <c r="J26" s="21" t="str">
        <f aca="false">IF(B26="","",B26*RefiCostPct)</f>
        <v/>
      </c>
      <c r="K26" s="60" t="str">
        <f aca="false">IFERROR(IF(I26&lt;=0,"No savings",J26/I26),"")</f>
        <v/>
      </c>
      <c r="L26" s="18" t="str">
        <f aca="false">IF(I26="","",IF(C26-F26&lt;0.005,"Skip - rate already low",IF(I26&lt;=0,"Skip - no savings",IF(AND(I26&gt;=RefiThreshold,K26&lt;=24),"REFI NOW",IF(I26&gt;=RefiThreshold,"Refi if staying long","Below threshold")))))</f>
        <v/>
      </c>
    </row>
    <row r="27" customFormat="false" ht="21.75" hidden="false" customHeight="true" outlineLevel="0" collapsed="false">
      <c r="A27" s="61" t="str">
        <f aca="false">IF(Properties!B27="","",Properties!B27)</f>
        <v/>
      </c>
      <c r="B27" s="62" t="str">
        <f aca="false">IF(Properties!L27="","",Properties!L27)</f>
        <v/>
      </c>
      <c r="C27" s="63" t="str">
        <f aca="false">IF(Properties!O27="","",Properties!O27)</f>
        <v/>
      </c>
      <c r="D27" s="25"/>
      <c r="E27" s="62" t="str">
        <f aca="false">IF(Properties!Q27="","",Properties!Q27)</f>
        <v/>
      </c>
      <c r="F27" s="28" t="n">
        <f aca="false">MarketRate30</f>
        <v>0.0668</v>
      </c>
      <c r="G27" s="25"/>
      <c r="H27" s="27" t="str">
        <f aca="false">IF(OR(B27="",F27="",G27=""),"",PMT(F27/12,G27*12,-B27))</f>
        <v/>
      </c>
      <c r="I27" s="27" t="str">
        <f aca="false">IF(OR(E27="",H27=""),"",E27-H27)</f>
        <v/>
      </c>
      <c r="J27" s="27" t="str">
        <f aca="false">IF(B27="","",B27*RefiCostPct)</f>
        <v/>
      </c>
      <c r="K27" s="64" t="str">
        <f aca="false">IFERROR(IF(I27&lt;=0,"No savings",J27/I27),"")</f>
        <v/>
      </c>
      <c r="L27" s="24" t="str">
        <f aca="false">IF(I27="","",IF(C27-F27&lt;0.005,"Skip - rate already low",IF(I27&lt;=0,"Skip - no savings",IF(AND(I27&gt;=RefiThreshold,K27&lt;=24),"REFI NOW",IF(I27&gt;=RefiThreshold,"Refi if staying long","Below threshold")))))</f>
        <v/>
      </c>
    </row>
    <row r="28" customFormat="false" ht="21.75" hidden="false" customHeight="true" outlineLevel="0" collapsed="false">
      <c r="A28" s="57" t="str">
        <f aca="false">IF(Properties!B28="","",Properties!B28)</f>
        <v/>
      </c>
      <c r="B28" s="58" t="str">
        <f aca="false">IF(Properties!L28="","",Properties!L28)</f>
        <v/>
      </c>
      <c r="C28" s="59" t="str">
        <f aca="false">IF(Properties!O28="","",Properties!O28)</f>
        <v/>
      </c>
      <c r="D28" s="19"/>
      <c r="E28" s="58" t="str">
        <f aca="false">IF(Properties!Q28="","",Properties!Q28)</f>
        <v/>
      </c>
      <c r="F28" s="22" t="n">
        <f aca="false">MarketRate30</f>
        <v>0.0668</v>
      </c>
      <c r="G28" s="19"/>
      <c r="H28" s="21" t="str">
        <f aca="false">IF(OR(B28="",F28="",G28=""),"",PMT(F28/12,G28*12,-B28))</f>
        <v/>
      </c>
      <c r="I28" s="21" t="str">
        <f aca="false">IF(OR(E28="",H28=""),"",E28-H28)</f>
        <v/>
      </c>
      <c r="J28" s="21" t="str">
        <f aca="false">IF(B28="","",B28*RefiCostPct)</f>
        <v/>
      </c>
      <c r="K28" s="60" t="str">
        <f aca="false">IFERROR(IF(I28&lt;=0,"No savings",J28/I28),"")</f>
        <v/>
      </c>
      <c r="L28" s="18" t="str">
        <f aca="false">IF(I28="","",IF(C28-F28&lt;0.005,"Skip - rate already low",IF(I28&lt;=0,"Skip - no savings",IF(AND(I28&gt;=RefiThreshold,K28&lt;=24),"REFI NOW",IF(I28&gt;=RefiThreshold,"Refi if staying long","Below threshold")))))</f>
        <v/>
      </c>
    </row>
    <row r="29" customFormat="false" ht="21.75" hidden="false" customHeight="true" outlineLevel="0" collapsed="false">
      <c r="A29" s="61" t="str">
        <f aca="false">IF(Properties!B29="","",Properties!B29)</f>
        <v/>
      </c>
      <c r="B29" s="62" t="str">
        <f aca="false">IF(Properties!L29="","",Properties!L29)</f>
        <v/>
      </c>
      <c r="C29" s="63" t="str">
        <f aca="false">IF(Properties!O29="","",Properties!O29)</f>
        <v/>
      </c>
      <c r="D29" s="25"/>
      <c r="E29" s="62" t="str">
        <f aca="false">IF(Properties!Q29="","",Properties!Q29)</f>
        <v/>
      </c>
      <c r="F29" s="28" t="n">
        <f aca="false">MarketRate30</f>
        <v>0.0668</v>
      </c>
      <c r="G29" s="25"/>
      <c r="H29" s="27" t="str">
        <f aca="false">IF(OR(B29="",F29="",G29=""),"",PMT(F29/12,G29*12,-B29))</f>
        <v/>
      </c>
      <c r="I29" s="27" t="str">
        <f aca="false">IF(OR(E29="",H29=""),"",E29-H29)</f>
        <v/>
      </c>
      <c r="J29" s="27" t="str">
        <f aca="false">IF(B29="","",B29*RefiCostPct)</f>
        <v/>
      </c>
      <c r="K29" s="64" t="str">
        <f aca="false">IFERROR(IF(I29&lt;=0,"No savings",J29/I29),"")</f>
        <v/>
      </c>
      <c r="L29" s="24" t="str">
        <f aca="false">IF(I29="","",IF(C29-F29&lt;0.005,"Skip - rate already low",IF(I29&lt;=0,"Skip - no savings",IF(AND(I29&gt;=RefiThreshold,K29&lt;=24),"REFI NOW",IF(I29&gt;=RefiThreshold,"Refi if staying long","Below threshold")))))</f>
        <v/>
      </c>
    </row>
    <row r="32" customFormat="false" ht="24" hidden="false" customHeight="true" outlineLevel="0" collapsed="false">
      <c r="A32" s="44" t="s">
        <v>176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</row>
    <row r="33" customFormat="false" ht="15" hidden="false" customHeight="true" outlineLevel="0" collapsed="false">
      <c r="A33" s="65" t="s">
        <v>177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</row>
    <row r="34" customFormat="false" ht="15" hidden="false" customHeight="true" outlineLevel="0" collapsed="false">
      <c r="A34" s="65" t="s">
        <v>178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</row>
    <row r="35" customFormat="false" ht="15" hidden="false" customHeight="true" outlineLevel="0" collapsed="false">
      <c r="A35" s="65" t="s">
        <v>179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</row>
    <row r="36" customFormat="false" ht="15" hidden="false" customHeight="true" outlineLevel="0" collapsed="false">
      <c r="A36" s="65" t="s">
        <v>180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</row>
    <row r="37" customFormat="false" ht="15" hidden="false" customHeight="true" outlineLevel="0" collapsed="false">
      <c r="A37" s="65" t="s">
        <v>181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</row>
  </sheetData>
  <mergeCells count="7">
    <mergeCell ref="A1:L1"/>
    <mergeCell ref="A32:L32"/>
    <mergeCell ref="A33:L33"/>
    <mergeCell ref="A34:L34"/>
    <mergeCell ref="A35:L35"/>
    <mergeCell ref="A36:L36"/>
    <mergeCell ref="A37:L37"/>
  </mergeCells>
  <conditionalFormatting sqref="L4:L29">
    <cfRule type="cellIs" priority="2" operator="equal" aboveAverage="0" equalAverage="0" bottom="0" percent="0" rank="0" text="" dxfId="0">
      <formula>"REFI NOW"</formula>
    </cfRule>
    <cfRule type="cellIs" priority="3" operator="equal" aboveAverage="0" equalAverage="0" bottom="0" percent="0" rank="0" text="" dxfId="1">
      <formula>"Refi if staying long"</formula>
    </cfRule>
    <cfRule type="cellIs" priority="4" operator="equal" aboveAverage="0" equalAverage="0" bottom="0" percent="0" rank="0" text="" dxfId="3">
      <formula>"Skip - no savings"</formula>
    </cfRule>
    <cfRule type="cellIs" priority="5" operator="equal" aboveAverage="0" equalAverage="0" bottom="0" percent="0" rank="0" text="" dxfId="4">
      <formula>"Skip - rate already 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6" min="5" style="1" width="10"/>
    <col collapsed="false" customWidth="true" hidden="false" outlineLevel="0" max="7" min="7" style="1" width="8"/>
    <col collapsed="false" customWidth="true" hidden="false" outlineLevel="0" max="10" min="8" style="1" width="12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14"/>
    <col collapsed="false" customWidth="true" hidden="false" outlineLevel="0" max="15" min="14" style="1" width="9"/>
    <col collapsed="false" customWidth="true" hidden="false" outlineLevel="0" max="16" min="16" style="1" width="7"/>
    <col collapsed="false" customWidth="true" hidden="false" outlineLevel="0" max="18" min="17" style="1" width="8"/>
    <col collapsed="false" customWidth="true" hidden="false" outlineLevel="0" max="19" min="19" style="1" width="12"/>
    <col collapsed="false" customWidth="true" hidden="false" outlineLevel="0" max="20" min="20" style="1" width="9"/>
    <col collapsed="false" customWidth="true" hidden="false" outlineLevel="0" max="23" min="21" style="1" width="11"/>
    <col collapsed="false" customWidth="true" hidden="false" outlineLevel="0" max="24" min="24" style="1" width="12"/>
    <col collapsed="false" customWidth="true" hidden="false" outlineLevel="0" max="26" min="25" style="1" width="11"/>
    <col collapsed="false" customWidth="true" hidden="false" outlineLevel="0" max="27" min="27" style="1" width="28"/>
  </cols>
  <sheetData>
    <row r="1" customFormat="false" ht="27.75" hidden="false" customHeight="true" outlineLevel="0" collapsed="false">
      <c r="A1" s="16" t="s">
        <v>182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3" customFormat="false" ht="30" hidden="false" customHeight="true" outlineLevel="0" collapsed="false">
      <c r="A3" s="17" t="s">
        <v>95</v>
      </c>
      <c r="B3" s="17" t="s">
        <v>38</v>
      </c>
      <c r="C3" s="17" t="s">
        <v>39</v>
      </c>
      <c r="D3" s="17" t="s">
        <v>183</v>
      </c>
      <c r="E3" s="17" t="s">
        <v>41</v>
      </c>
      <c r="F3" s="17" t="s">
        <v>43</v>
      </c>
      <c r="G3" s="17" t="s">
        <v>184</v>
      </c>
      <c r="H3" s="17" t="s">
        <v>185</v>
      </c>
      <c r="I3" s="17" t="s">
        <v>186</v>
      </c>
      <c r="J3" s="17" t="s">
        <v>187</v>
      </c>
      <c r="K3" s="17" t="s">
        <v>188</v>
      </c>
      <c r="L3" s="17" t="s">
        <v>189</v>
      </c>
      <c r="M3" s="17" t="s">
        <v>190</v>
      </c>
      <c r="N3" s="17" t="s">
        <v>191</v>
      </c>
      <c r="O3" s="17" t="s">
        <v>192</v>
      </c>
      <c r="P3" s="17" t="s">
        <v>193</v>
      </c>
      <c r="Q3" s="17" t="s">
        <v>194</v>
      </c>
      <c r="R3" s="17" t="s">
        <v>195</v>
      </c>
      <c r="S3" s="17" t="s">
        <v>60</v>
      </c>
      <c r="T3" s="17" t="s">
        <v>61</v>
      </c>
      <c r="U3" s="17" t="s">
        <v>196</v>
      </c>
      <c r="V3" s="17" t="s">
        <v>197</v>
      </c>
      <c r="W3" s="17" t="s">
        <v>198</v>
      </c>
      <c r="X3" s="17" t="s">
        <v>199</v>
      </c>
      <c r="Y3" s="17" t="s">
        <v>200</v>
      </c>
      <c r="Z3" s="17" t="s">
        <v>201</v>
      </c>
      <c r="AA3" s="17" t="s">
        <v>63</v>
      </c>
    </row>
    <row r="4" customFormat="false" ht="21.75" hidden="false" customHeight="true" outlineLevel="0" collapsed="false">
      <c r="A4" s="19" t="s">
        <v>202</v>
      </c>
      <c r="B4" s="19" t="s">
        <v>203</v>
      </c>
      <c r="C4" s="19" t="s">
        <v>73</v>
      </c>
      <c r="D4" s="19" t="s">
        <v>204</v>
      </c>
      <c r="E4" s="19" t="s">
        <v>68</v>
      </c>
      <c r="F4" s="19" t="s">
        <v>69</v>
      </c>
      <c r="G4" s="19" t="n">
        <v>1955</v>
      </c>
      <c r="H4" s="20" t="n">
        <v>95000</v>
      </c>
      <c r="I4" s="20" t="n">
        <v>130000</v>
      </c>
      <c r="J4" s="20" t="n">
        <v>1250</v>
      </c>
      <c r="K4" s="20" t="n">
        <v>1900</v>
      </c>
      <c r="L4" s="20" t="n">
        <v>850</v>
      </c>
      <c r="M4" s="20" t="n">
        <v>2200</v>
      </c>
      <c r="N4" s="23" t="n">
        <v>0.25</v>
      </c>
      <c r="O4" s="23" t="n">
        <v>0.075</v>
      </c>
      <c r="P4" s="66" t="n">
        <v>30</v>
      </c>
      <c r="Q4" s="60" t="n">
        <f aca="false">IFERROR(H4/(J4*12),"")</f>
        <v>6.33333333333333</v>
      </c>
      <c r="R4" s="22" t="n">
        <f aca="false">IFERROR(J4/H4,"")</f>
        <v>0.0131578947368421</v>
      </c>
      <c r="S4" s="21" t="n">
        <f aca="false">IF(H4="","",J4*12*(1-VacancyPct)-K4-L4-M4)</f>
        <v>8850</v>
      </c>
      <c r="T4" s="22" t="n">
        <f aca="false">IFERROR(S4/H4,"")</f>
        <v>0.0931578947368421</v>
      </c>
      <c r="U4" s="21" t="n">
        <f aca="false">IF(OR(H4="",N4=""),"",H4*N4)</f>
        <v>23750</v>
      </c>
      <c r="V4" s="21" t="n">
        <f aca="false">IF(H4="","",H4-U4)</f>
        <v>71250</v>
      </c>
      <c r="W4" s="21" t="n">
        <f aca="false">IF(OR(V4="",O4="",P4=""),"",PMT(O4/12,P4*12,-V4))</f>
        <v>498.190337343855</v>
      </c>
      <c r="X4" s="21" t="n">
        <f aca="false">IF(OR(S4="",W4=""),"",S4-W4*12)</f>
        <v>2871.71595187374</v>
      </c>
      <c r="Y4" s="22" t="n">
        <f aca="false">IFERROR(X4/U4,"")</f>
        <v>0.120914355868368</v>
      </c>
      <c r="Z4" s="67" t="n">
        <f aca="false">IF(H4="","",ROUND(  MIN(40,MAX(0, T4/TargetCapRate*40 )) +MIN(40,MAX(0, Y4/TargetCoC*40 )) +MIN(20,MAX(0, R4/0.01*20 )),0))</f>
        <v>100</v>
      </c>
      <c r="AA4" s="19"/>
    </row>
    <row r="5" customFormat="false" ht="21.75" hidden="false" customHeight="true" outlineLevel="0" collapsed="false">
      <c r="A5" s="25" t="s">
        <v>205</v>
      </c>
      <c r="B5" s="25" t="s">
        <v>206</v>
      </c>
      <c r="C5" s="25" t="s">
        <v>207</v>
      </c>
      <c r="D5" s="25" t="s">
        <v>208</v>
      </c>
      <c r="E5" s="25" t="s">
        <v>68</v>
      </c>
      <c r="F5" s="25" t="s">
        <v>209</v>
      </c>
      <c r="G5" s="25" t="n">
        <v>1962</v>
      </c>
      <c r="H5" s="26" t="n">
        <v>119000</v>
      </c>
      <c r="I5" s="26" t="n">
        <v>155000</v>
      </c>
      <c r="J5" s="26" t="n">
        <v>1400</v>
      </c>
      <c r="K5" s="26" t="n">
        <v>1850</v>
      </c>
      <c r="L5" s="26" t="n">
        <v>950</v>
      </c>
      <c r="M5" s="26" t="n">
        <v>2400</v>
      </c>
      <c r="N5" s="29" t="n">
        <v>0.2</v>
      </c>
      <c r="O5" s="29" t="n">
        <v>0.075</v>
      </c>
      <c r="P5" s="68" t="n">
        <v>30</v>
      </c>
      <c r="Q5" s="64" t="n">
        <f aca="false">IFERROR(H5/(J5*12),"")</f>
        <v>7.08333333333333</v>
      </c>
      <c r="R5" s="28" t="n">
        <f aca="false">IFERROR(J5/H5,"")</f>
        <v>0.0117647058823529</v>
      </c>
      <c r="S5" s="27" t="n">
        <f aca="false">IF(H5="","",J5*12*(1-VacancyPct)-K5-L5-M5)</f>
        <v>10256</v>
      </c>
      <c r="T5" s="28" t="n">
        <f aca="false">IFERROR(S5/H5,"")</f>
        <v>0.0861848739495798</v>
      </c>
      <c r="U5" s="27" t="n">
        <f aca="false">IF(OR(H5="",N5=""),"",H5*N5)</f>
        <v>23800</v>
      </c>
      <c r="V5" s="27" t="n">
        <f aca="false">IF(H5="","",H5-U5)</f>
        <v>95200</v>
      </c>
      <c r="W5" s="27" t="n">
        <f aca="false">IF(OR(V5="",O5="",P5=""),"",PMT(O5/12,P5*12,-V5))</f>
        <v>665.652212142246</v>
      </c>
      <c r="X5" s="27" t="n">
        <f aca="false">IF(OR(S5="",W5=""),"",S5-W5*12)</f>
        <v>2268.17345429305</v>
      </c>
      <c r="Y5" s="28" t="n">
        <f aca="false">IFERROR(X5/U5,"")</f>
        <v>0.0953014056425652</v>
      </c>
      <c r="Z5" s="69" t="n">
        <f aca="false">IF(H5="","",ROUND(  MIN(40,MAX(0, T5/TargetCapRate*40 )) +MIN(40,MAX(0, Y5/TargetCoC*40 )) +MIN(20,MAX(0, R5/0.01*20 )),0))</f>
        <v>98</v>
      </c>
      <c r="AA5" s="25"/>
    </row>
    <row r="6" customFormat="false" ht="21.75" hidden="false" customHeight="true" outlineLevel="0" collapsed="false">
      <c r="A6" s="19" t="s">
        <v>202</v>
      </c>
      <c r="B6" s="19" t="s">
        <v>210</v>
      </c>
      <c r="C6" s="19" t="s">
        <v>211</v>
      </c>
      <c r="D6" s="19" t="s">
        <v>212</v>
      </c>
      <c r="E6" s="19" t="s">
        <v>79</v>
      </c>
      <c r="F6" s="19" t="s">
        <v>80</v>
      </c>
      <c r="G6" s="19" t="n">
        <v>1968</v>
      </c>
      <c r="H6" s="20" t="n">
        <v>135000</v>
      </c>
      <c r="I6" s="20" t="n">
        <v>175000</v>
      </c>
      <c r="J6" s="20" t="n">
        <v>2050</v>
      </c>
      <c r="K6" s="20" t="n">
        <v>2100</v>
      </c>
      <c r="L6" s="20" t="n">
        <v>1100</v>
      </c>
      <c r="M6" s="20" t="n">
        <v>3300</v>
      </c>
      <c r="N6" s="23" t="n">
        <v>0.25</v>
      </c>
      <c r="O6" s="23" t="n">
        <v>0.075</v>
      </c>
      <c r="P6" s="66" t="n">
        <v>30</v>
      </c>
      <c r="Q6" s="60" t="n">
        <f aca="false">IFERROR(H6/(J6*12),"")</f>
        <v>5.48780487804878</v>
      </c>
      <c r="R6" s="22" t="n">
        <f aca="false">IFERROR(J6/H6,"")</f>
        <v>0.0151851851851852</v>
      </c>
      <c r="S6" s="21" t="n">
        <f aca="false">IF(H6="","",J6*12*(1-VacancyPct)-K6-L6-M6)</f>
        <v>16132</v>
      </c>
      <c r="T6" s="22" t="n">
        <f aca="false">IFERROR(S6/H6,"")</f>
        <v>0.119496296296296</v>
      </c>
      <c r="U6" s="21" t="n">
        <f aca="false">IF(OR(H6="",N6=""),"",H6*N6)</f>
        <v>33750</v>
      </c>
      <c r="V6" s="21" t="n">
        <f aca="false">IF(H6="","",H6-U6)</f>
        <v>101250</v>
      </c>
      <c r="W6" s="21" t="n">
        <f aca="false">IF(OR(V6="",O6="",P6=""),"",PMT(O6/12,P6*12,-V6))</f>
        <v>707.954689909689</v>
      </c>
      <c r="X6" s="21" t="n">
        <f aca="false">IF(OR(S6="",W6=""),"",S6-W6*12)</f>
        <v>7636.54372108373</v>
      </c>
      <c r="Y6" s="22" t="n">
        <f aca="false">IFERROR(X6/U6,"")</f>
        <v>0.226267962106185</v>
      </c>
      <c r="Z6" s="67" t="n">
        <f aca="false">IF(H6="","",ROUND(  MIN(40,MAX(0, T6/TargetCapRate*40 )) +MIN(40,MAX(0, Y6/TargetCoC*40 )) +MIN(20,MAX(0, R6/0.01*20 )),0))</f>
        <v>100</v>
      </c>
      <c r="AA6" s="19"/>
    </row>
    <row r="7" customFormat="false" ht="21.75" hidden="false" customHeight="true" outlineLevel="0" collapsed="false">
      <c r="A7" s="25"/>
      <c r="B7" s="25"/>
      <c r="C7" s="25"/>
      <c r="D7" s="25"/>
      <c r="E7" s="25"/>
      <c r="F7" s="25"/>
      <c r="G7" s="25"/>
      <c r="H7" s="26"/>
      <c r="I7" s="26"/>
      <c r="J7" s="26"/>
      <c r="K7" s="26"/>
      <c r="L7" s="26"/>
      <c r="M7" s="26"/>
      <c r="N7" s="29"/>
      <c r="O7" s="29"/>
      <c r="P7" s="68"/>
      <c r="Q7" s="64" t="str">
        <f aca="false">IFERROR(H7/(J7*12),"")</f>
        <v/>
      </c>
      <c r="R7" s="28" t="str">
        <f aca="false">IFERROR(J7/H7,"")</f>
        <v/>
      </c>
      <c r="S7" s="27" t="str">
        <f aca="false">IF(H7="","",J7*12*(1-VacancyPct)-K7-L7-M7)</f>
        <v/>
      </c>
      <c r="T7" s="28" t="str">
        <f aca="false">IFERROR(S7/H7,"")</f>
        <v/>
      </c>
      <c r="U7" s="27" t="str">
        <f aca="false">IF(OR(H7="",N7=""),"",H7*N7)</f>
        <v/>
      </c>
      <c r="V7" s="27" t="str">
        <f aca="false">IF(H7="","",H7-U7)</f>
        <v/>
      </c>
      <c r="W7" s="27" t="str">
        <f aca="false">IF(OR(V7="",O7="",P7=""),"",PMT(O7/12,P7*12,-V7))</f>
        <v/>
      </c>
      <c r="X7" s="27" t="str">
        <f aca="false">IF(OR(S7="",W7=""),"",S7-W7*12)</f>
        <v/>
      </c>
      <c r="Y7" s="28" t="str">
        <f aca="false">IFERROR(X7/U7,"")</f>
        <v/>
      </c>
      <c r="Z7" s="69" t="str">
        <f aca="false">IF(H7="","",ROUND(  MIN(40,MAX(0, T7/TargetCapRate*40 )) +MIN(40,MAX(0, Y7/TargetCoC*40 )) +MIN(20,MAX(0, R7/0.01*20 )),0))</f>
        <v/>
      </c>
      <c r="AA7" s="25"/>
    </row>
    <row r="8" customFormat="false" ht="21.75" hidden="false" customHeight="true" outlineLevel="0" collapsed="false">
      <c r="A8" s="19"/>
      <c r="B8" s="19"/>
      <c r="C8" s="19"/>
      <c r="D8" s="19"/>
      <c r="E8" s="19"/>
      <c r="F8" s="19"/>
      <c r="G8" s="19"/>
      <c r="H8" s="20"/>
      <c r="I8" s="20"/>
      <c r="J8" s="20"/>
      <c r="K8" s="20"/>
      <c r="L8" s="20"/>
      <c r="M8" s="20"/>
      <c r="N8" s="23"/>
      <c r="O8" s="23"/>
      <c r="P8" s="66"/>
      <c r="Q8" s="60" t="str">
        <f aca="false">IFERROR(H8/(J8*12),"")</f>
        <v/>
      </c>
      <c r="R8" s="22" t="str">
        <f aca="false">IFERROR(J8/H8,"")</f>
        <v/>
      </c>
      <c r="S8" s="21" t="str">
        <f aca="false">IF(H8="","",J8*12*(1-VacancyPct)-K8-L8-M8)</f>
        <v/>
      </c>
      <c r="T8" s="22" t="str">
        <f aca="false">IFERROR(S8/H8,"")</f>
        <v/>
      </c>
      <c r="U8" s="21" t="str">
        <f aca="false">IF(OR(H8="",N8=""),"",H8*N8)</f>
        <v/>
      </c>
      <c r="V8" s="21" t="str">
        <f aca="false">IF(H8="","",H8-U8)</f>
        <v/>
      </c>
      <c r="W8" s="21" t="str">
        <f aca="false">IF(OR(V8="",O8="",P8=""),"",PMT(O8/12,P8*12,-V8))</f>
        <v/>
      </c>
      <c r="X8" s="21" t="str">
        <f aca="false">IF(OR(S8="",W8=""),"",S8-W8*12)</f>
        <v/>
      </c>
      <c r="Y8" s="22" t="str">
        <f aca="false">IFERROR(X8/U8,"")</f>
        <v/>
      </c>
      <c r="Z8" s="67" t="str">
        <f aca="false">IF(H8="","",ROUND(  MIN(40,MAX(0, T8/TargetCapRate*40 )) +MIN(40,MAX(0, Y8/TargetCoC*40 )) +MIN(20,MAX(0, R8/0.01*20 )),0))</f>
        <v/>
      </c>
      <c r="AA8" s="19"/>
    </row>
    <row r="9" customFormat="false" ht="21.75" hidden="false" customHeight="true" outlineLevel="0" collapsed="false">
      <c r="A9" s="25"/>
      <c r="B9" s="25"/>
      <c r="C9" s="25"/>
      <c r="D9" s="25"/>
      <c r="E9" s="25"/>
      <c r="F9" s="25"/>
      <c r="G9" s="25"/>
      <c r="H9" s="26"/>
      <c r="I9" s="26"/>
      <c r="J9" s="26"/>
      <c r="K9" s="26"/>
      <c r="L9" s="26"/>
      <c r="M9" s="26"/>
      <c r="N9" s="29"/>
      <c r="O9" s="29"/>
      <c r="P9" s="68"/>
      <c r="Q9" s="64" t="str">
        <f aca="false">IFERROR(H9/(J9*12),"")</f>
        <v/>
      </c>
      <c r="R9" s="28" t="str">
        <f aca="false">IFERROR(J9/H9,"")</f>
        <v/>
      </c>
      <c r="S9" s="27" t="str">
        <f aca="false">IF(H9="","",J9*12*(1-VacancyPct)-K9-L9-M9)</f>
        <v/>
      </c>
      <c r="T9" s="28" t="str">
        <f aca="false">IFERROR(S9/H9,"")</f>
        <v/>
      </c>
      <c r="U9" s="27" t="str">
        <f aca="false">IF(OR(H9="",N9=""),"",H9*N9)</f>
        <v/>
      </c>
      <c r="V9" s="27" t="str">
        <f aca="false">IF(H9="","",H9-U9)</f>
        <v/>
      </c>
      <c r="W9" s="27" t="str">
        <f aca="false">IF(OR(V9="",O9="",P9=""),"",PMT(O9/12,P9*12,-V9))</f>
        <v/>
      </c>
      <c r="X9" s="27" t="str">
        <f aca="false">IF(OR(S9="",W9=""),"",S9-W9*12)</f>
        <v/>
      </c>
      <c r="Y9" s="28" t="str">
        <f aca="false">IFERROR(X9/U9,"")</f>
        <v/>
      </c>
      <c r="Z9" s="69" t="str">
        <f aca="false">IF(H9="","",ROUND(  MIN(40,MAX(0, T9/TargetCapRate*40 )) +MIN(40,MAX(0, Y9/TargetCoC*40 )) +MIN(20,MAX(0, R9/0.01*20 )),0))</f>
        <v/>
      </c>
      <c r="AA9" s="25"/>
    </row>
    <row r="10" customFormat="false" ht="21.75" hidden="false" customHeight="true" outlineLevel="0" collapsed="false">
      <c r="A10" s="19"/>
      <c r="B10" s="19"/>
      <c r="C10" s="19"/>
      <c r="D10" s="19"/>
      <c r="E10" s="19"/>
      <c r="F10" s="19"/>
      <c r="G10" s="19"/>
      <c r="H10" s="20"/>
      <c r="I10" s="20"/>
      <c r="J10" s="20"/>
      <c r="K10" s="20"/>
      <c r="L10" s="20"/>
      <c r="M10" s="20"/>
      <c r="N10" s="23"/>
      <c r="O10" s="23"/>
      <c r="P10" s="66"/>
      <c r="Q10" s="60" t="str">
        <f aca="false">IFERROR(H10/(J10*12),"")</f>
        <v/>
      </c>
      <c r="R10" s="22" t="str">
        <f aca="false">IFERROR(J10/H10,"")</f>
        <v/>
      </c>
      <c r="S10" s="21" t="str">
        <f aca="false">IF(H10="","",J10*12*(1-VacancyPct)-K10-L10-M10)</f>
        <v/>
      </c>
      <c r="T10" s="22" t="str">
        <f aca="false">IFERROR(S10/H10,"")</f>
        <v/>
      </c>
      <c r="U10" s="21" t="str">
        <f aca="false">IF(OR(H10="",N10=""),"",H10*N10)</f>
        <v/>
      </c>
      <c r="V10" s="21" t="str">
        <f aca="false">IF(H10="","",H10-U10)</f>
        <v/>
      </c>
      <c r="W10" s="21" t="str">
        <f aca="false">IF(OR(V10="",O10="",P10=""),"",PMT(O10/12,P10*12,-V10))</f>
        <v/>
      </c>
      <c r="X10" s="21" t="str">
        <f aca="false">IF(OR(S10="",W10=""),"",S10-W10*12)</f>
        <v/>
      </c>
      <c r="Y10" s="22" t="str">
        <f aca="false">IFERROR(X10/U10,"")</f>
        <v/>
      </c>
      <c r="Z10" s="67" t="str">
        <f aca="false">IF(H10="","",ROUND(  MIN(40,MAX(0, T10/TargetCapRate*40 )) +MIN(40,MAX(0, Y10/TargetCoC*40 )) +MIN(20,MAX(0, R10/0.01*20 )),0))</f>
        <v/>
      </c>
      <c r="AA10" s="19"/>
    </row>
    <row r="11" customFormat="false" ht="21.75" hidden="false" customHeight="true" outlineLevel="0" collapsed="false">
      <c r="A11" s="25"/>
      <c r="B11" s="25"/>
      <c r="C11" s="25"/>
      <c r="D11" s="25"/>
      <c r="E11" s="25"/>
      <c r="F11" s="25"/>
      <c r="G11" s="25"/>
      <c r="H11" s="26"/>
      <c r="I11" s="26"/>
      <c r="J11" s="26"/>
      <c r="K11" s="26"/>
      <c r="L11" s="26"/>
      <c r="M11" s="26"/>
      <c r="N11" s="29"/>
      <c r="O11" s="29"/>
      <c r="P11" s="68"/>
      <c r="Q11" s="64" t="str">
        <f aca="false">IFERROR(H11/(J11*12),"")</f>
        <v/>
      </c>
      <c r="R11" s="28" t="str">
        <f aca="false">IFERROR(J11/H11,"")</f>
        <v/>
      </c>
      <c r="S11" s="27" t="str">
        <f aca="false">IF(H11="","",J11*12*(1-VacancyPct)-K11-L11-M11)</f>
        <v/>
      </c>
      <c r="T11" s="28" t="str">
        <f aca="false">IFERROR(S11/H11,"")</f>
        <v/>
      </c>
      <c r="U11" s="27" t="str">
        <f aca="false">IF(OR(H11="",N11=""),"",H11*N11)</f>
        <v/>
      </c>
      <c r="V11" s="27" t="str">
        <f aca="false">IF(H11="","",H11-U11)</f>
        <v/>
      </c>
      <c r="W11" s="27" t="str">
        <f aca="false">IF(OR(V11="",O11="",P11=""),"",PMT(O11/12,P11*12,-V11))</f>
        <v/>
      </c>
      <c r="X11" s="27" t="str">
        <f aca="false">IF(OR(S11="",W11=""),"",S11-W11*12)</f>
        <v/>
      </c>
      <c r="Y11" s="28" t="str">
        <f aca="false">IFERROR(X11/U11,"")</f>
        <v/>
      </c>
      <c r="Z11" s="69" t="str">
        <f aca="false">IF(H11="","",ROUND(  MIN(40,MAX(0, T11/TargetCapRate*40 )) +MIN(40,MAX(0, Y11/TargetCoC*40 )) +MIN(20,MAX(0, R11/0.01*20 )),0))</f>
        <v/>
      </c>
      <c r="AA11" s="25"/>
    </row>
    <row r="12" customFormat="false" ht="21.75" hidden="false" customHeight="true" outlineLevel="0" collapsed="false">
      <c r="A12" s="19"/>
      <c r="B12" s="19"/>
      <c r="C12" s="19"/>
      <c r="D12" s="19"/>
      <c r="E12" s="19"/>
      <c r="F12" s="19"/>
      <c r="G12" s="19"/>
      <c r="H12" s="20"/>
      <c r="I12" s="20"/>
      <c r="J12" s="20"/>
      <c r="K12" s="20"/>
      <c r="L12" s="20"/>
      <c r="M12" s="20"/>
      <c r="N12" s="23"/>
      <c r="O12" s="23"/>
      <c r="P12" s="66"/>
      <c r="Q12" s="60" t="str">
        <f aca="false">IFERROR(H12/(J12*12),"")</f>
        <v/>
      </c>
      <c r="R12" s="22" t="str">
        <f aca="false">IFERROR(J12/H12,"")</f>
        <v/>
      </c>
      <c r="S12" s="21" t="str">
        <f aca="false">IF(H12="","",J12*12*(1-VacancyPct)-K12-L12-M12)</f>
        <v/>
      </c>
      <c r="T12" s="22" t="str">
        <f aca="false">IFERROR(S12/H12,"")</f>
        <v/>
      </c>
      <c r="U12" s="21" t="str">
        <f aca="false">IF(OR(H12="",N12=""),"",H12*N12)</f>
        <v/>
      </c>
      <c r="V12" s="21" t="str">
        <f aca="false">IF(H12="","",H12-U12)</f>
        <v/>
      </c>
      <c r="W12" s="21" t="str">
        <f aca="false">IF(OR(V12="",O12="",P12=""),"",PMT(O12/12,P12*12,-V12))</f>
        <v/>
      </c>
      <c r="X12" s="21" t="str">
        <f aca="false">IF(OR(S12="",W12=""),"",S12-W12*12)</f>
        <v/>
      </c>
      <c r="Y12" s="22" t="str">
        <f aca="false">IFERROR(X12/U12,"")</f>
        <v/>
      </c>
      <c r="Z12" s="67" t="str">
        <f aca="false">IF(H12="","",ROUND(  MIN(40,MAX(0, T12/TargetCapRate*40 )) +MIN(40,MAX(0, Y12/TargetCoC*40 )) +MIN(20,MAX(0, R12/0.01*20 )),0))</f>
        <v/>
      </c>
      <c r="AA12" s="19"/>
    </row>
    <row r="13" customFormat="false" ht="21.75" hidden="false" customHeight="true" outlineLevel="0" collapsed="false">
      <c r="A13" s="25"/>
      <c r="B13" s="25"/>
      <c r="C13" s="25"/>
      <c r="D13" s="25"/>
      <c r="E13" s="25"/>
      <c r="F13" s="25"/>
      <c r="G13" s="25"/>
      <c r="H13" s="26"/>
      <c r="I13" s="26"/>
      <c r="J13" s="26"/>
      <c r="K13" s="26"/>
      <c r="L13" s="26"/>
      <c r="M13" s="26"/>
      <c r="N13" s="29"/>
      <c r="O13" s="29"/>
      <c r="P13" s="68"/>
      <c r="Q13" s="64" t="str">
        <f aca="false">IFERROR(H13/(J13*12),"")</f>
        <v/>
      </c>
      <c r="R13" s="28" t="str">
        <f aca="false">IFERROR(J13/H13,"")</f>
        <v/>
      </c>
      <c r="S13" s="27" t="str">
        <f aca="false">IF(H13="","",J13*12*(1-VacancyPct)-K13-L13-M13)</f>
        <v/>
      </c>
      <c r="T13" s="28" t="str">
        <f aca="false">IFERROR(S13/H13,"")</f>
        <v/>
      </c>
      <c r="U13" s="27" t="str">
        <f aca="false">IF(OR(H13="",N13=""),"",H13*N13)</f>
        <v/>
      </c>
      <c r="V13" s="27" t="str">
        <f aca="false">IF(H13="","",H13-U13)</f>
        <v/>
      </c>
      <c r="W13" s="27" t="str">
        <f aca="false">IF(OR(V13="",O13="",P13=""),"",PMT(O13/12,P13*12,-V13))</f>
        <v/>
      </c>
      <c r="X13" s="27" t="str">
        <f aca="false">IF(OR(S13="",W13=""),"",S13-W13*12)</f>
        <v/>
      </c>
      <c r="Y13" s="28" t="str">
        <f aca="false">IFERROR(X13/U13,"")</f>
        <v/>
      </c>
      <c r="Z13" s="69" t="str">
        <f aca="false">IF(H13="","",ROUND(  MIN(40,MAX(0, T13/TargetCapRate*40 )) +MIN(40,MAX(0, Y13/TargetCoC*40 )) +MIN(20,MAX(0, R13/0.01*20 )),0))</f>
        <v/>
      </c>
      <c r="AA13" s="25"/>
    </row>
    <row r="14" customFormat="false" ht="21.75" hidden="false" customHeight="true" outlineLevel="0" collapsed="false">
      <c r="A14" s="19"/>
      <c r="B14" s="19"/>
      <c r="C14" s="19"/>
      <c r="D14" s="19"/>
      <c r="E14" s="19"/>
      <c r="F14" s="19"/>
      <c r="G14" s="19"/>
      <c r="H14" s="20"/>
      <c r="I14" s="20"/>
      <c r="J14" s="20"/>
      <c r="K14" s="20"/>
      <c r="L14" s="20"/>
      <c r="M14" s="20"/>
      <c r="N14" s="23"/>
      <c r="O14" s="23"/>
      <c r="P14" s="66"/>
      <c r="Q14" s="60" t="str">
        <f aca="false">IFERROR(H14/(J14*12),"")</f>
        <v/>
      </c>
      <c r="R14" s="22" t="str">
        <f aca="false">IFERROR(J14/H14,"")</f>
        <v/>
      </c>
      <c r="S14" s="21" t="str">
        <f aca="false">IF(H14="","",J14*12*(1-VacancyPct)-K14-L14-M14)</f>
        <v/>
      </c>
      <c r="T14" s="22" t="str">
        <f aca="false">IFERROR(S14/H14,"")</f>
        <v/>
      </c>
      <c r="U14" s="21" t="str">
        <f aca="false">IF(OR(H14="",N14=""),"",H14*N14)</f>
        <v/>
      </c>
      <c r="V14" s="21" t="str">
        <f aca="false">IF(H14="","",H14-U14)</f>
        <v/>
      </c>
      <c r="W14" s="21" t="str">
        <f aca="false">IF(OR(V14="",O14="",P14=""),"",PMT(O14/12,P14*12,-V14))</f>
        <v/>
      </c>
      <c r="X14" s="21" t="str">
        <f aca="false">IF(OR(S14="",W14=""),"",S14-W14*12)</f>
        <v/>
      </c>
      <c r="Y14" s="22" t="str">
        <f aca="false">IFERROR(X14/U14,"")</f>
        <v/>
      </c>
      <c r="Z14" s="67" t="str">
        <f aca="false">IF(H14="","",ROUND(  MIN(40,MAX(0, T14/TargetCapRate*40 )) +MIN(40,MAX(0, Y14/TargetCoC*40 )) +MIN(20,MAX(0, R14/0.01*20 )),0))</f>
        <v/>
      </c>
      <c r="AA14" s="19"/>
    </row>
    <row r="15" customFormat="false" ht="21.75" hidden="false" customHeight="true" outlineLevel="0" collapsed="false">
      <c r="A15" s="25"/>
      <c r="B15" s="25"/>
      <c r="C15" s="25"/>
      <c r="D15" s="25"/>
      <c r="E15" s="25"/>
      <c r="F15" s="25"/>
      <c r="G15" s="25"/>
      <c r="H15" s="26"/>
      <c r="I15" s="26"/>
      <c r="J15" s="26"/>
      <c r="K15" s="26"/>
      <c r="L15" s="26"/>
      <c r="M15" s="26"/>
      <c r="N15" s="29"/>
      <c r="O15" s="29"/>
      <c r="P15" s="68"/>
      <c r="Q15" s="64" t="str">
        <f aca="false">IFERROR(H15/(J15*12),"")</f>
        <v/>
      </c>
      <c r="R15" s="28" t="str">
        <f aca="false">IFERROR(J15/H15,"")</f>
        <v/>
      </c>
      <c r="S15" s="27" t="str">
        <f aca="false">IF(H15="","",J15*12*(1-VacancyPct)-K15-L15-M15)</f>
        <v/>
      </c>
      <c r="T15" s="28" t="str">
        <f aca="false">IFERROR(S15/H15,"")</f>
        <v/>
      </c>
      <c r="U15" s="27" t="str">
        <f aca="false">IF(OR(H15="",N15=""),"",H15*N15)</f>
        <v/>
      </c>
      <c r="V15" s="27" t="str">
        <f aca="false">IF(H15="","",H15-U15)</f>
        <v/>
      </c>
      <c r="W15" s="27" t="str">
        <f aca="false">IF(OR(V15="",O15="",P15=""),"",PMT(O15/12,P15*12,-V15))</f>
        <v/>
      </c>
      <c r="X15" s="27" t="str">
        <f aca="false">IF(OR(S15="",W15=""),"",S15-W15*12)</f>
        <v/>
      </c>
      <c r="Y15" s="28" t="str">
        <f aca="false">IFERROR(X15/U15,"")</f>
        <v/>
      </c>
      <c r="Z15" s="69" t="str">
        <f aca="false">IF(H15="","",ROUND(  MIN(40,MAX(0, T15/TargetCapRate*40 )) +MIN(40,MAX(0, Y15/TargetCoC*40 )) +MIN(20,MAX(0, R15/0.01*20 )),0))</f>
        <v/>
      </c>
      <c r="AA15" s="25"/>
    </row>
    <row r="16" customFormat="false" ht="21.75" hidden="false" customHeight="true" outlineLevel="0" collapsed="false">
      <c r="A16" s="19"/>
      <c r="B16" s="19"/>
      <c r="C16" s="19"/>
      <c r="D16" s="19"/>
      <c r="E16" s="19"/>
      <c r="F16" s="19"/>
      <c r="G16" s="19"/>
      <c r="H16" s="20"/>
      <c r="I16" s="20"/>
      <c r="J16" s="20"/>
      <c r="K16" s="20"/>
      <c r="L16" s="20"/>
      <c r="M16" s="20"/>
      <c r="N16" s="23"/>
      <c r="O16" s="23"/>
      <c r="P16" s="66"/>
      <c r="Q16" s="60" t="str">
        <f aca="false">IFERROR(H16/(J16*12),"")</f>
        <v/>
      </c>
      <c r="R16" s="22" t="str">
        <f aca="false">IFERROR(J16/H16,"")</f>
        <v/>
      </c>
      <c r="S16" s="21" t="str">
        <f aca="false">IF(H16="","",J16*12*(1-VacancyPct)-K16-L16-M16)</f>
        <v/>
      </c>
      <c r="T16" s="22" t="str">
        <f aca="false">IFERROR(S16/H16,"")</f>
        <v/>
      </c>
      <c r="U16" s="21" t="str">
        <f aca="false">IF(OR(H16="",N16=""),"",H16*N16)</f>
        <v/>
      </c>
      <c r="V16" s="21" t="str">
        <f aca="false">IF(H16="","",H16-U16)</f>
        <v/>
      </c>
      <c r="W16" s="21" t="str">
        <f aca="false">IF(OR(V16="",O16="",P16=""),"",PMT(O16/12,P16*12,-V16))</f>
        <v/>
      </c>
      <c r="X16" s="21" t="str">
        <f aca="false">IF(OR(S16="",W16=""),"",S16-W16*12)</f>
        <v/>
      </c>
      <c r="Y16" s="22" t="str">
        <f aca="false">IFERROR(X16/U16,"")</f>
        <v/>
      </c>
      <c r="Z16" s="67" t="str">
        <f aca="false">IF(H16="","",ROUND(  MIN(40,MAX(0, T16/TargetCapRate*40 )) +MIN(40,MAX(0, Y16/TargetCoC*40 )) +MIN(20,MAX(0, R16/0.01*20 )),0))</f>
        <v/>
      </c>
      <c r="AA16" s="19"/>
    </row>
    <row r="17" customFormat="false" ht="21.75" hidden="false" customHeight="true" outlineLevel="0" collapsed="false">
      <c r="A17" s="25"/>
      <c r="B17" s="25"/>
      <c r="C17" s="25"/>
      <c r="D17" s="25"/>
      <c r="E17" s="25"/>
      <c r="F17" s="25"/>
      <c r="G17" s="25"/>
      <c r="H17" s="26"/>
      <c r="I17" s="26"/>
      <c r="J17" s="26"/>
      <c r="K17" s="26"/>
      <c r="L17" s="26"/>
      <c r="M17" s="26"/>
      <c r="N17" s="29"/>
      <c r="O17" s="29"/>
      <c r="P17" s="68"/>
      <c r="Q17" s="64" t="str">
        <f aca="false">IFERROR(H17/(J17*12),"")</f>
        <v/>
      </c>
      <c r="R17" s="28" t="str">
        <f aca="false">IFERROR(J17/H17,"")</f>
        <v/>
      </c>
      <c r="S17" s="27" t="str">
        <f aca="false">IF(H17="","",J17*12*(1-VacancyPct)-K17-L17-M17)</f>
        <v/>
      </c>
      <c r="T17" s="28" t="str">
        <f aca="false">IFERROR(S17/H17,"")</f>
        <v/>
      </c>
      <c r="U17" s="27" t="str">
        <f aca="false">IF(OR(H17="",N17=""),"",H17*N17)</f>
        <v/>
      </c>
      <c r="V17" s="27" t="str">
        <f aca="false">IF(H17="","",H17-U17)</f>
        <v/>
      </c>
      <c r="W17" s="27" t="str">
        <f aca="false">IF(OR(V17="",O17="",P17=""),"",PMT(O17/12,P17*12,-V17))</f>
        <v/>
      </c>
      <c r="X17" s="27" t="str">
        <f aca="false">IF(OR(S17="",W17=""),"",S17-W17*12)</f>
        <v/>
      </c>
      <c r="Y17" s="28" t="str">
        <f aca="false">IFERROR(X17/U17,"")</f>
        <v/>
      </c>
      <c r="Z17" s="69" t="str">
        <f aca="false">IF(H17="","",ROUND(  MIN(40,MAX(0, T17/TargetCapRate*40 )) +MIN(40,MAX(0, Y17/TargetCoC*40 )) +MIN(20,MAX(0, R17/0.01*20 )),0))</f>
        <v/>
      </c>
      <c r="AA17" s="25"/>
    </row>
    <row r="18" customFormat="false" ht="21.75" hidden="false" customHeight="true" outlineLevel="0" collapsed="false">
      <c r="A18" s="19"/>
      <c r="B18" s="19"/>
      <c r="C18" s="19"/>
      <c r="D18" s="19"/>
      <c r="E18" s="19"/>
      <c r="F18" s="19"/>
      <c r="G18" s="19"/>
      <c r="H18" s="20"/>
      <c r="I18" s="20"/>
      <c r="J18" s="20"/>
      <c r="K18" s="20"/>
      <c r="L18" s="20"/>
      <c r="M18" s="20"/>
      <c r="N18" s="23"/>
      <c r="O18" s="23"/>
      <c r="P18" s="66"/>
      <c r="Q18" s="60" t="str">
        <f aca="false">IFERROR(H18/(J18*12),"")</f>
        <v/>
      </c>
      <c r="R18" s="22" t="str">
        <f aca="false">IFERROR(J18/H18,"")</f>
        <v/>
      </c>
      <c r="S18" s="21" t="str">
        <f aca="false">IF(H18="","",J18*12*(1-VacancyPct)-K18-L18-M18)</f>
        <v/>
      </c>
      <c r="T18" s="22" t="str">
        <f aca="false">IFERROR(S18/H18,"")</f>
        <v/>
      </c>
      <c r="U18" s="21" t="str">
        <f aca="false">IF(OR(H18="",N18=""),"",H18*N18)</f>
        <v/>
      </c>
      <c r="V18" s="21" t="str">
        <f aca="false">IF(H18="","",H18-U18)</f>
        <v/>
      </c>
      <c r="W18" s="21" t="str">
        <f aca="false">IF(OR(V18="",O18="",P18=""),"",PMT(O18/12,P18*12,-V18))</f>
        <v/>
      </c>
      <c r="X18" s="21" t="str">
        <f aca="false">IF(OR(S18="",W18=""),"",S18-W18*12)</f>
        <v/>
      </c>
      <c r="Y18" s="22" t="str">
        <f aca="false">IFERROR(X18/U18,"")</f>
        <v/>
      </c>
      <c r="Z18" s="67" t="str">
        <f aca="false">IF(H18="","",ROUND(  MIN(40,MAX(0, T18/TargetCapRate*40 )) +MIN(40,MAX(0, Y18/TargetCoC*40 )) +MIN(20,MAX(0, R18/0.01*20 )),0))</f>
        <v/>
      </c>
      <c r="AA18" s="19"/>
    </row>
    <row r="19" customFormat="false" ht="21.75" hidden="false" customHeight="true" outlineLevel="0" collapsed="false">
      <c r="A19" s="25"/>
      <c r="B19" s="25"/>
      <c r="C19" s="25"/>
      <c r="D19" s="25"/>
      <c r="E19" s="25"/>
      <c r="F19" s="25"/>
      <c r="G19" s="25"/>
      <c r="H19" s="26"/>
      <c r="I19" s="26"/>
      <c r="J19" s="26"/>
      <c r="K19" s="26"/>
      <c r="L19" s="26"/>
      <c r="M19" s="26"/>
      <c r="N19" s="29"/>
      <c r="O19" s="29"/>
      <c r="P19" s="68"/>
      <c r="Q19" s="64" t="str">
        <f aca="false">IFERROR(H19/(J19*12),"")</f>
        <v/>
      </c>
      <c r="R19" s="28" t="str">
        <f aca="false">IFERROR(J19/H19,"")</f>
        <v/>
      </c>
      <c r="S19" s="27" t="str">
        <f aca="false">IF(H19="","",J19*12*(1-VacancyPct)-K19-L19-M19)</f>
        <v/>
      </c>
      <c r="T19" s="28" t="str">
        <f aca="false">IFERROR(S19/H19,"")</f>
        <v/>
      </c>
      <c r="U19" s="27" t="str">
        <f aca="false">IF(OR(H19="",N19=""),"",H19*N19)</f>
        <v/>
      </c>
      <c r="V19" s="27" t="str">
        <f aca="false">IF(H19="","",H19-U19)</f>
        <v/>
      </c>
      <c r="W19" s="27" t="str">
        <f aca="false">IF(OR(V19="",O19="",P19=""),"",PMT(O19/12,P19*12,-V19))</f>
        <v/>
      </c>
      <c r="X19" s="27" t="str">
        <f aca="false">IF(OR(S19="",W19=""),"",S19-W19*12)</f>
        <v/>
      </c>
      <c r="Y19" s="28" t="str">
        <f aca="false">IFERROR(X19/U19,"")</f>
        <v/>
      </c>
      <c r="Z19" s="69" t="str">
        <f aca="false">IF(H19="","",ROUND(  MIN(40,MAX(0, T19/TargetCapRate*40 )) +MIN(40,MAX(0, Y19/TargetCoC*40 )) +MIN(20,MAX(0, R19/0.01*20 )),0))</f>
        <v/>
      </c>
      <c r="AA19" s="25"/>
    </row>
    <row r="20" customFormat="false" ht="21.75" hidden="false" customHeight="true" outlineLevel="0" collapsed="false">
      <c r="A20" s="19"/>
      <c r="B20" s="19"/>
      <c r="C20" s="19"/>
      <c r="D20" s="19"/>
      <c r="E20" s="19"/>
      <c r="F20" s="19"/>
      <c r="G20" s="19"/>
      <c r="H20" s="20"/>
      <c r="I20" s="20"/>
      <c r="J20" s="20"/>
      <c r="K20" s="20"/>
      <c r="L20" s="20"/>
      <c r="M20" s="20"/>
      <c r="N20" s="23"/>
      <c r="O20" s="23"/>
      <c r="P20" s="66"/>
      <c r="Q20" s="60" t="str">
        <f aca="false">IFERROR(H20/(J20*12),"")</f>
        <v/>
      </c>
      <c r="R20" s="22" t="str">
        <f aca="false">IFERROR(J20/H20,"")</f>
        <v/>
      </c>
      <c r="S20" s="21" t="str">
        <f aca="false">IF(H20="","",J20*12*(1-VacancyPct)-K20-L20-M20)</f>
        <v/>
      </c>
      <c r="T20" s="22" t="str">
        <f aca="false">IFERROR(S20/H20,"")</f>
        <v/>
      </c>
      <c r="U20" s="21" t="str">
        <f aca="false">IF(OR(H20="",N20=""),"",H20*N20)</f>
        <v/>
      </c>
      <c r="V20" s="21" t="str">
        <f aca="false">IF(H20="","",H20-U20)</f>
        <v/>
      </c>
      <c r="W20" s="21" t="str">
        <f aca="false">IF(OR(V20="",O20="",P20=""),"",PMT(O20/12,P20*12,-V20))</f>
        <v/>
      </c>
      <c r="X20" s="21" t="str">
        <f aca="false">IF(OR(S20="",W20=""),"",S20-W20*12)</f>
        <v/>
      </c>
      <c r="Y20" s="22" t="str">
        <f aca="false">IFERROR(X20/U20,"")</f>
        <v/>
      </c>
      <c r="Z20" s="67" t="str">
        <f aca="false">IF(H20="","",ROUND(  MIN(40,MAX(0, T20/TargetCapRate*40 )) +MIN(40,MAX(0, Y20/TargetCoC*40 )) +MIN(20,MAX(0, R20/0.01*20 )),0))</f>
        <v/>
      </c>
      <c r="AA20" s="19"/>
    </row>
    <row r="21" customFormat="false" ht="21.75" hidden="false" customHeight="true" outlineLevel="0" collapsed="false">
      <c r="A21" s="25"/>
      <c r="B21" s="25"/>
      <c r="C21" s="25"/>
      <c r="D21" s="25"/>
      <c r="E21" s="25"/>
      <c r="F21" s="25"/>
      <c r="G21" s="25"/>
      <c r="H21" s="26"/>
      <c r="I21" s="26"/>
      <c r="J21" s="26"/>
      <c r="K21" s="26"/>
      <c r="L21" s="26"/>
      <c r="M21" s="26"/>
      <c r="N21" s="29"/>
      <c r="O21" s="29"/>
      <c r="P21" s="68"/>
      <c r="Q21" s="64" t="str">
        <f aca="false">IFERROR(H21/(J21*12),"")</f>
        <v/>
      </c>
      <c r="R21" s="28" t="str">
        <f aca="false">IFERROR(J21/H21,"")</f>
        <v/>
      </c>
      <c r="S21" s="27" t="str">
        <f aca="false">IF(H21="","",J21*12*(1-VacancyPct)-K21-L21-M21)</f>
        <v/>
      </c>
      <c r="T21" s="28" t="str">
        <f aca="false">IFERROR(S21/H21,"")</f>
        <v/>
      </c>
      <c r="U21" s="27" t="str">
        <f aca="false">IF(OR(H21="",N21=""),"",H21*N21)</f>
        <v/>
      </c>
      <c r="V21" s="27" t="str">
        <f aca="false">IF(H21="","",H21-U21)</f>
        <v/>
      </c>
      <c r="W21" s="27" t="str">
        <f aca="false">IF(OR(V21="",O21="",P21=""),"",PMT(O21/12,P21*12,-V21))</f>
        <v/>
      </c>
      <c r="X21" s="27" t="str">
        <f aca="false">IF(OR(S21="",W21=""),"",S21-W21*12)</f>
        <v/>
      </c>
      <c r="Y21" s="28" t="str">
        <f aca="false">IFERROR(X21/U21,"")</f>
        <v/>
      </c>
      <c r="Z21" s="69" t="str">
        <f aca="false">IF(H21="","",ROUND(  MIN(40,MAX(0, T21/TargetCapRate*40 )) +MIN(40,MAX(0, Y21/TargetCoC*40 )) +MIN(20,MAX(0, R21/0.01*20 )),0))</f>
        <v/>
      </c>
      <c r="AA21" s="25"/>
    </row>
    <row r="22" customFormat="false" ht="21.75" hidden="false" customHeight="true" outlineLevel="0" collapsed="false">
      <c r="A22" s="19"/>
      <c r="B22" s="19"/>
      <c r="C22" s="19"/>
      <c r="D22" s="19"/>
      <c r="E22" s="19"/>
      <c r="F22" s="19"/>
      <c r="G22" s="19"/>
      <c r="H22" s="20"/>
      <c r="I22" s="20"/>
      <c r="J22" s="20"/>
      <c r="K22" s="20"/>
      <c r="L22" s="20"/>
      <c r="M22" s="20"/>
      <c r="N22" s="23"/>
      <c r="O22" s="23"/>
      <c r="P22" s="66"/>
      <c r="Q22" s="60" t="str">
        <f aca="false">IFERROR(H22/(J22*12),"")</f>
        <v/>
      </c>
      <c r="R22" s="22" t="str">
        <f aca="false">IFERROR(J22/H22,"")</f>
        <v/>
      </c>
      <c r="S22" s="21" t="str">
        <f aca="false">IF(H22="","",J22*12*(1-VacancyPct)-K22-L22-M22)</f>
        <v/>
      </c>
      <c r="T22" s="22" t="str">
        <f aca="false">IFERROR(S22/H22,"")</f>
        <v/>
      </c>
      <c r="U22" s="21" t="str">
        <f aca="false">IF(OR(H22="",N22=""),"",H22*N22)</f>
        <v/>
      </c>
      <c r="V22" s="21" t="str">
        <f aca="false">IF(H22="","",H22-U22)</f>
        <v/>
      </c>
      <c r="W22" s="21" t="str">
        <f aca="false">IF(OR(V22="",O22="",P22=""),"",PMT(O22/12,P22*12,-V22))</f>
        <v/>
      </c>
      <c r="X22" s="21" t="str">
        <f aca="false">IF(OR(S22="",W22=""),"",S22-W22*12)</f>
        <v/>
      </c>
      <c r="Y22" s="22" t="str">
        <f aca="false">IFERROR(X22/U22,"")</f>
        <v/>
      </c>
      <c r="Z22" s="67" t="str">
        <f aca="false">IF(H22="","",ROUND(  MIN(40,MAX(0, T22/TargetCapRate*40 )) +MIN(40,MAX(0, Y22/TargetCoC*40 )) +MIN(20,MAX(0, R22/0.01*20 )),0))</f>
        <v/>
      </c>
      <c r="AA22" s="19"/>
    </row>
    <row r="23" customFormat="false" ht="21.75" hidden="false" customHeight="true" outlineLevel="0" collapsed="false">
      <c r="A23" s="25"/>
      <c r="B23" s="25"/>
      <c r="C23" s="25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9"/>
      <c r="O23" s="29"/>
      <c r="P23" s="68"/>
      <c r="Q23" s="64" t="str">
        <f aca="false">IFERROR(H23/(J23*12),"")</f>
        <v/>
      </c>
      <c r="R23" s="28" t="str">
        <f aca="false">IFERROR(J23/H23,"")</f>
        <v/>
      </c>
      <c r="S23" s="27" t="str">
        <f aca="false">IF(H23="","",J23*12*(1-VacancyPct)-K23-L23-M23)</f>
        <v/>
      </c>
      <c r="T23" s="28" t="str">
        <f aca="false">IFERROR(S23/H23,"")</f>
        <v/>
      </c>
      <c r="U23" s="27" t="str">
        <f aca="false">IF(OR(H23="",N23=""),"",H23*N23)</f>
        <v/>
      </c>
      <c r="V23" s="27" t="str">
        <f aca="false">IF(H23="","",H23-U23)</f>
        <v/>
      </c>
      <c r="W23" s="27" t="str">
        <f aca="false">IF(OR(V23="",O23="",P23=""),"",PMT(O23/12,P23*12,-V23))</f>
        <v/>
      </c>
      <c r="X23" s="27" t="str">
        <f aca="false">IF(OR(S23="",W23=""),"",S23-W23*12)</f>
        <v/>
      </c>
      <c r="Y23" s="28" t="str">
        <f aca="false">IFERROR(X23/U23,"")</f>
        <v/>
      </c>
      <c r="Z23" s="69" t="str">
        <f aca="false">IF(H23="","",ROUND(  MIN(40,MAX(0, T23/TargetCapRate*40 )) +MIN(40,MAX(0, Y23/TargetCoC*40 )) +MIN(20,MAX(0, R23/0.01*20 )),0))</f>
        <v/>
      </c>
      <c r="AA23" s="25"/>
    </row>
    <row r="24" customFormat="false" ht="21.75" hidden="false" customHeight="true" outlineLevel="0" collapsed="false">
      <c r="A24" s="19"/>
      <c r="B24" s="19"/>
      <c r="C24" s="19"/>
      <c r="D24" s="19"/>
      <c r="E24" s="19"/>
      <c r="F24" s="19"/>
      <c r="G24" s="19"/>
      <c r="H24" s="20"/>
      <c r="I24" s="20"/>
      <c r="J24" s="20"/>
      <c r="K24" s="20"/>
      <c r="L24" s="20"/>
      <c r="M24" s="20"/>
      <c r="N24" s="23"/>
      <c r="O24" s="23"/>
      <c r="P24" s="66"/>
      <c r="Q24" s="60" t="str">
        <f aca="false">IFERROR(H24/(J24*12),"")</f>
        <v/>
      </c>
      <c r="R24" s="22" t="str">
        <f aca="false">IFERROR(J24/H24,"")</f>
        <v/>
      </c>
      <c r="S24" s="21" t="str">
        <f aca="false">IF(H24="","",J24*12*(1-VacancyPct)-K24-L24-M24)</f>
        <v/>
      </c>
      <c r="T24" s="22" t="str">
        <f aca="false">IFERROR(S24/H24,"")</f>
        <v/>
      </c>
      <c r="U24" s="21" t="str">
        <f aca="false">IF(OR(H24="",N24=""),"",H24*N24)</f>
        <v/>
      </c>
      <c r="V24" s="21" t="str">
        <f aca="false">IF(H24="","",H24-U24)</f>
        <v/>
      </c>
      <c r="W24" s="21" t="str">
        <f aca="false">IF(OR(V24="",O24="",P24=""),"",PMT(O24/12,P24*12,-V24))</f>
        <v/>
      </c>
      <c r="X24" s="21" t="str">
        <f aca="false">IF(OR(S24="",W24=""),"",S24-W24*12)</f>
        <v/>
      </c>
      <c r="Y24" s="22" t="str">
        <f aca="false">IFERROR(X24/U24,"")</f>
        <v/>
      </c>
      <c r="Z24" s="67" t="str">
        <f aca="false">IF(H24="","",ROUND(  MIN(40,MAX(0, T24/TargetCapRate*40 )) +MIN(40,MAX(0, Y24/TargetCoC*40 )) +MIN(20,MAX(0, R24/0.01*20 )),0))</f>
        <v/>
      </c>
      <c r="AA24" s="19"/>
    </row>
    <row r="25" customFormat="false" ht="21.75" hidden="false" customHeight="true" outlineLevel="0" collapsed="false">
      <c r="A25" s="25"/>
      <c r="B25" s="25"/>
      <c r="C25" s="25"/>
      <c r="D25" s="25"/>
      <c r="E25" s="25"/>
      <c r="F25" s="25"/>
      <c r="G25" s="25"/>
      <c r="H25" s="26"/>
      <c r="I25" s="26"/>
      <c r="J25" s="26"/>
      <c r="K25" s="26"/>
      <c r="L25" s="26"/>
      <c r="M25" s="26"/>
      <c r="N25" s="29"/>
      <c r="O25" s="29"/>
      <c r="P25" s="68"/>
      <c r="Q25" s="64" t="str">
        <f aca="false">IFERROR(H25/(J25*12),"")</f>
        <v/>
      </c>
      <c r="R25" s="28" t="str">
        <f aca="false">IFERROR(J25/H25,"")</f>
        <v/>
      </c>
      <c r="S25" s="27" t="str">
        <f aca="false">IF(H25="","",J25*12*(1-VacancyPct)-K25-L25-M25)</f>
        <v/>
      </c>
      <c r="T25" s="28" t="str">
        <f aca="false">IFERROR(S25/H25,"")</f>
        <v/>
      </c>
      <c r="U25" s="27" t="str">
        <f aca="false">IF(OR(H25="",N25=""),"",H25*N25)</f>
        <v/>
      </c>
      <c r="V25" s="27" t="str">
        <f aca="false">IF(H25="","",H25-U25)</f>
        <v/>
      </c>
      <c r="W25" s="27" t="str">
        <f aca="false">IF(OR(V25="",O25="",P25=""),"",PMT(O25/12,P25*12,-V25))</f>
        <v/>
      </c>
      <c r="X25" s="27" t="str">
        <f aca="false">IF(OR(S25="",W25=""),"",S25-W25*12)</f>
        <v/>
      </c>
      <c r="Y25" s="28" t="str">
        <f aca="false">IFERROR(X25/U25,"")</f>
        <v/>
      </c>
      <c r="Z25" s="69" t="str">
        <f aca="false">IF(H25="","",ROUND(  MIN(40,MAX(0, T25/TargetCapRate*40 )) +MIN(40,MAX(0, Y25/TargetCoC*40 )) +MIN(20,MAX(0, R25/0.01*20 )),0))</f>
        <v/>
      </c>
      <c r="AA25" s="25"/>
    </row>
    <row r="26" customFormat="false" ht="21.75" hidden="false" customHeight="true" outlineLevel="0" collapsed="false">
      <c r="A26" s="19"/>
      <c r="B26" s="19"/>
      <c r="C26" s="19"/>
      <c r="D26" s="19"/>
      <c r="E26" s="19"/>
      <c r="F26" s="19"/>
      <c r="G26" s="19"/>
      <c r="H26" s="20"/>
      <c r="I26" s="20"/>
      <c r="J26" s="20"/>
      <c r="K26" s="20"/>
      <c r="L26" s="20"/>
      <c r="M26" s="20"/>
      <c r="N26" s="23"/>
      <c r="O26" s="23"/>
      <c r="P26" s="66"/>
      <c r="Q26" s="60" t="str">
        <f aca="false">IFERROR(H26/(J26*12),"")</f>
        <v/>
      </c>
      <c r="R26" s="22" t="str">
        <f aca="false">IFERROR(J26/H26,"")</f>
        <v/>
      </c>
      <c r="S26" s="21" t="str">
        <f aca="false">IF(H26="","",J26*12*(1-VacancyPct)-K26-L26-M26)</f>
        <v/>
      </c>
      <c r="T26" s="22" t="str">
        <f aca="false">IFERROR(S26/H26,"")</f>
        <v/>
      </c>
      <c r="U26" s="21" t="str">
        <f aca="false">IF(OR(H26="",N26=""),"",H26*N26)</f>
        <v/>
      </c>
      <c r="V26" s="21" t="str">
        <f aca="false">IF(H26="","",H26-U26)</f>
        <v/>
      </c>
      <c r="W26" s="21" t="str">
        <f aca="false">IF(OR(V26="",O26="",P26=""),"",PMT(O26/12,P26*12,-V26))</f>
        <v/>
      </c>
      <c r="X26" s="21" t="str">
        <f aca="false">IF(OR(S26="",W26=""),"",S26-W26*12)</f>
        <v/>
      </c>
      <c r="Y26" s="22" t="str">
        <f aca="false">IFERROR(X26/U26,"")</f>
        <v/>
      </c>
      <c r="Z26" s="67" t="str">
        <f aca="false">IF(H26="","",ROUND(  MIN(40,MAX(0, T26/TargetCapRate*40 )) +MIN(40,MAX(0, Y26/TargetCoC*40 )) +MIN(20,MAX(0, R26/0.01*20 )),0))</f>
        <v/>
      </c>
      <c r="AA26" s="19"/>
    </row>
    <row r="27" customFormat="false" ht="21.75" hidden="false" customHeight="true" outlineLevel="0" collapsed="false">
      <c r="A27" s="25"/>
      <c r="B27" s="25"/>
      <c r="C27" s="25"/>
      <c r="D27" s="25"/>
      <c r="E27" s="25"/>
      <c r="F27" s="25"/>
      <c r="G27" s="25"/>
      <c r="H27" s="26"/>
      <c r="I27" s="26"/>
      <c r="J27" s="26"/>
      <c r="K27" s="26"/>
      <c r="L27" s="26"/>
      <c r="M27" s="26"/>
      <c r="N27" s="29"/>
      <c r="O27" s="29"/>
      <c r="P27" s="68"/>
      <c r="Q27" s="64" t="str">
        <f aca="false">IFERROR(H27/(J27*12),"")</f>
        <v/>
      </c>
      <c r="R27" s="28" t="str">
        <f aca="false">IFERROR(J27/H27,"")</f>
        <v/>
      </c>
      <c r="S27" s="27" t="str">
        <f aca="false">IF(H27="","",J27*12*(1-VacancyPct)-K27-L27-M27)</f>
        <v/>
      </c>
      <c r="T27" s="28" t="str">
        <f aca="false">IFERROR(S27/H27,"")</f>
        <v/>
      </c>
      <c r="U27" s="27" t="str">
        <f aca="false">IF(OR(H27="",N27=""),"",H27*N27)</f>
        <v/>
      </c>
      <c r="V27" s="27" t="str">
        <f aca="false">IF(H27="","",H27-U27)</f>
        <v/>
      </c>
      <c r="W27" s="27" t="str">
        <f aca="false">IF(OR(V27="",O27="",P27=""),"",PMT(O27/12,P27*12,-V27))</f>
        <v/>
      </c>
      <c r="X27" s="27" t="str">
        <f aca="false">IF(OR(S27="",W27=""),"",S27-W27*12)</f>
        <v/>
      </c>
      <c r="Y27" s="28" t="str">
        <f aca="false">IFERROR(X27/U27,"")</f>
        <v/>
      </c>
      <c r="Z27" s="69" t="str">
        <f aca="false">IF(H27="","",ROUND(  MIN(40,MAX(0, T27/TargetCapRate*40 )) +MIN(40,MAX(0, Y27/TargetCoC*40 )) +MIN(20,MAX(0, R27/0.01*20 )),0))</f>
        <v/>
      </c>
      <c r="AA27" s="25"/>
    </row>
    <row r="28" customFormat="false" ht="21.75" hidden="false" customHeight="true" outlineLevel="0" collapsed="false">
      <c r="A28" s="19"/>
      <c r="B28" s="19"/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20"/>
      <c r="N28" s="23"/>
      <c r="O28" s="23"/>
      <c r="P28" s="66"/>
      <c r="Q28" s="60" t="str">
        <f aca="false">IFERROR(H28/(J28*12),"")</f>
        <v/>
      </c>
      <c r="R28" s="22" t="str">
        <f aca="false">IFERROR(J28/H28,"")</f>
        <v/>
      </c>
      <c r="S28" s="21" t="str">
        <f aca="false">IF(H28="","",J28*12*(1-VacancyPct)-K28-L28-M28)</f>
        <v/>
      </c>
      <c r="T28" s="22" t="str">
        <f aca="false">IFERROR(S28/H28,"")</f>
        <v/>
      </c>
      <c r="U28" s="21" t="str">
        <f aca="false">IF(OR(H28="",N28=""),"",H28*N28)</f>
        <v/>
      </c>
      <c r="V28" s="21" t="str">
        <f aca="false">IF(H28="","",H28-U28)</f>
        <v/>
      </c>
      <c r="W28" s="21" t="str">
        <f aca="false">IF(OR(V28="",O28="",P28=""),"",PMT(O28/12,P28*12,-V28))</f>
        <v/>
      </c>
      <c r="X28" s="21" t="str">
        <f aca="false">IF(OR(S28="",W28=""),"",S28-W28*12)</f>
        <v/>
      </c>
      <c r="Y28" s="22" t="str">
        <f aca="false">IFERROR(X28/U28,"")</f>
        <v/>
      </c>
      <c r="Z28" s="67" t="str">
        <f aca="false">IF(H28="","",ROUND(  MIN(40,MAX(0, T28/TargetCapRate*40 )) +MIN(40,MAX(0, Y28/TargetCoC*40 )) +MIN(20,MAX(0, R28/0.01*20 )),0))</f>
        <v/>
      </c>
      <c r="AA28" s="19"/>
    </row>
    <row r="29" customFormat="false" ht="21.75" hidden="false" customHeight="true" outlineLevel="0" collapsed="false">
      <c r="A29" s="25"/>
      <c r="B29" s="25"/>
      <c r="C29" s="25"/>
      <c r="D29" s="25"/>
      <c r="E29" s="25"/>
      <c r="F29" s="25"/>
      <c r="G29" s="25"/>
      <c r="H29" s="26"/>
      <c r="I29" s="26"/>
      <c r="J29" s="26"/>
      <c r="K29" s="26"/>
      <c r="L29" s="26"/>
      <c r="M29" s="26"/>
      <c r="N29" s="29"/>
      <c r="O29" s="29"/>
      <c r="P29" s="68"/>
      <c r="Q29" s="64" t="str">
        <f aca="false">IFERROR(H29/(J29*12),"")</f>
        <v/>
      </c>
      <c r="R29" s="28" t="str">
        <f aca="false">IFERROR(J29/H29,"")</f>
        <v/>
      </c>
      <c r="S29" s="27" t="str">
        <f aca="false">IF(H29="","",J29*12*(1-VacancyPct)-K29-L29-M29)</f>
        <v/>
      </c>
      <c r="T29" s="28" t="str">
        <f aca="false">IFERROR(S29/H29,"")</f>
        <v/>
      </c>
      <c r="U29" s="27" t="str">
        <f aca="false">IF(OR(H29="",N29=""),"",H29*N29)</f>
        <v/>
      </c>
      <c r="V29" s="27" t="str">
        <f aca="false">IF(H29="","",H29-U29)</f>
        <v/>
      </c>
      <c r="W29" s="27" t="str">
        <f aca="false">IF(OR(V29="",O29="",P29=""),"",PMT(O29/12,P29*12,-V29))</f>
        <v/>
      </c>
      <c r="X29" s="27" t="str">
        <f aca="false">IF(OR(S29="",W29=""),"",S29-W29*12)</f>
        <v/>
      </c>
      <c r="Y29" s="28" t="str">
        <f aca="false">IFERROR(X29/U29,"")</f>
        <v/>
      </c>
      <c r="Z29" s="69" t="str">
        <f aca="false">IF(H29="","",ROUND(  MIN(40,MAX(0, T29/TargetCapRate*40 )) +MIN(40,MAX(0, Y29/TargetCoC*40 )) +MIN(20,MAX(0, R29/0.01*20 )),0))</f>
        <v/>
      </c>
      <c r="AA29" s="25"/>
    </row>
    <row r="32" customFormat="false" ht="24" hidden="false" customHeight="true" outlineLevel="0" collapsed="false">
      <c r="A32" s="44" t="s">
        <v>213</v>
      </c>
      <c r="B32" s="44"/>
      <c r="C32" s="44"/>
      <c r="D32" s="44"/>
      <c r="E32" s="44"/>
      <c r="F32" s="44"/>
      <c r="G32" s="44"/>
      <c r="H32" s="44"/>
    </row>
    <row r="33" customFormat="false" ht="15" hidden="false" customHeight="true" outlineLevel="0" collapsed="false">
      <c r="A33" s="70" t="s">
        <v>214</v>
      </c>
      <c r="B33" s="70"/>
      <c r="C33" s="70"/>
      <c r="D33" s="70"/>
      <c r="E33" s="70"/>
      <c r="F33" s="70"/>
      <c r="G33" s="70"/>
      <c r="H33" s="70"/>
      <c r="I33" s="70"/>
      <c r="J33" s="70"/>
    </row>
    <row r="34" customFormat="false" ht="15" hidden="false" customHeight="true" outlineLevel="0" collapsed="false">
      <c r="A34" s="70" t="s">
        <v>215</v>
      </c>
      <c r="B34" s="70"/>
      <c r="C34" s="70"/>
      <c r="D34" s="70"/>
      <c r="E34" s="70"/>
      <c r="F34" s="70"/>
      <c r="G34" s="70"/>
      <c r="H34" s="70"/>
      <c r="I34" s="70"/>
      <c r="J34" s="70"/>
    </row>
    <row r="35" customFormat="false" ht="15" hidden="false" customHeight="true" outlineLevel="0" collapsed="false">
      <c r="A35" s="70" t="s">
        <v>216</v>
      </c>
      <c r="B35" s="70"/>
      <c r="C35" s="70"/>
      <c r="D35" s="70"/>
      <c r="E35" s="70"/>
      <c r="F35" s="70"/>
      <c r="G35" s="70"/>
      <c r="H35" s="70"/>
      <c r="I35" s="70"/>
      <c r="J35" s="70"/>
    </row>
  </sheetData>
  <mergeCells count="5">
    <mergeCell ref="A1:AA1"/>
    <mergeCell ref="A32:H32"/>
    <mergeCell ref="A33:J33"/>
    <mergeCell ref="A34:J34"/>
    <mergeCell ref="A35:J35"/>
  </mergeCells>
  <conditionalFormatting sqref="Z4:Z29">
    <cfRule type="colorScale" priority="2">
      <colorScale>
        <cfvo type="num" val="0"/>
        <cfvo type="num" val="60"/>
        <cfvo type="num" val="85"/>
        <color rgb="FFF8D7DA"/>
        <color rgb="FFFFF3CD"/>
        <color rgb="FFD4EDDA"/>
      </colorScale>
    </cfRule>
  </conditionalFormatting>
  <conditionalFormatting sqref="A4:A29">
    <cfRule type="cellIs" priority="3" operator="equal" aboveAverage="0" equalAverage="0" bottom="0" percent="0" rank="0" text="" dxfId="0">
      <formula>"Won"</formula>
    </cfRule>
    <cfRule type="cellIs" priority="4" operator="equal" aboveAverage="0" equalAverage="0" bottom="0" percent="0" rank="0" text="" dxfId="1">
      <formula>"Offer"</formula>
    </cfRule>
    <cfRule type="cellIs" priority="5" operator="equal" aboveAverage="0" equalAverage="0" bottom="0" percent="0" rank="0" text="" dxfId="3">
      <formula>"Lost"</formula>
    </cfRule>
  </conditionalFormatting>
  <dataValidations count="1">
    <dataValidation allowBlank="true" errorStyle="stop" operator="between" showDropDown="false" showErrorMessage="false" showInputMessage="false" sqref="A4:A29" type="list">
      <formula1>_Lists!$A$10:$A$14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6" min="3" style="1" width="14"/>
    <col collapsed="false" customWidth="true" hidden="false" outlineLevel="0" max="7" min="7" style="1" width="60"/>
  </cols>
  <sheetData>
    <row r="2" customFormat="false" ht="24" hidden="false" customHeight="true" outlineLevel="0" collapsed="false">
      <c r="B2" s="71" t="s">
        <v>217</v>
      </c>
      <c r="C2" s="71"/>
      <c r="D2" s="71"/>
      <c r="E2" s="71"/>
      <c r="F2" s="71"/>
      <c r="G2" s="71"/>
    </row>
    <row r="3" customFormat="false" ht="15" hidden="false" customHeight="true" outlineLevel="0" collapsed="false">
      <c r="B3" s="3" t="s">
        <v>218</v>
      </c>
      <c r="C3" s="3"/>
      <c r="D3" s="3"/>
      <c r="E3" s="3"/>
      <c r="F3" s="3"/>
      <c r="G3" s="3"/>
    </row>
    <row r="5" customFormat="false" ht="25.5" hidden="false" customHeight="true" outlineLevel="0" collapsed="false">
      <c r="B5" s="72" t="s">
        <v>219</v>
      </c>
      <c r="C5" s="72"/>
      <c r="D5" s="72"/>
      <c r="E5" s="72"/>
      <c r="F5" s="72"/>
      <c r="G5" s="72"/>
    </row>
    <row r="7" customFormat="false" ht="26.25" hidden="false" customHeight="true" outlineLevel="0" collapsed="false">
      <c r="B7" s="73" t="s">
        <v>39</v>
      </c>
      <c r="C7" s="73" t="s">
        <v>220</v>
      </c>
      <c r="D7" s="73" t="s">
        <v>221</v>
      </c>
      <c r="E7" s="73" t="s">
        <v>222</v>
      </c>
      <c r="F7" s="73" t="s">
        <v>223</v>
      </c>
      <c r="G7" s="73" t="s">
        <v>224</v>
      </c>
    </row>
    <row r="8" customFormat="false" ht="36" hidden="false" customHeight="true" outlineLevel="0" collapsed="false">
      <c r="B8" s="37" t="s">
        <v>78</v>
      </c>
      <c r="C8" s="74" t="n">
        <v>279000</v>
      </c>
      <c r="D8" s="75" t="n">
        <v>0.085</v>
      </c>
      <c r="E8" s="37" t="s">
        <v>225</v>
      </c>
      <c r="F8" s="37" t="s">
        <v>226</v>
      </c>
      <c r="G8" s="37" t="s">
        <v>227</v>
      </c>
    </row>
    <row r="9" customFormat="false" ht="36" hidden="false" customHeight="true" outlineLevel="0" collapsed="false">
      <c r="B9" s="42" t="s">
        <v>66</v>
      </c>
      <c r="C9" s="76" t="n">
        <v>285000</v>
      </c>
      <c r="D9" s="77" t="n">
        <v>0.09</v>
      </c>
      <c r="E9" s="42" t="s">
        <v>228</v>
      </c>
      <c r="F9" s="42" t="s">
        <v>229</v>
      </c>
      <c r="G9" s="42" t="s">
        <v>230</v>
      </c>
    </row>
    <row r="10" customFormat="false" ht="36" hidden="false" customHeight="true" outlineLevel="0" collapsed="false">
      <c r="B10" s="37" t="s">
        <v>73</v>
      </c>
      <c r="C10" s="74" t="n">
        <v>150000</v>
      </c>
      <c r="D10" s="75" t="n">
        <v>0.113</v>
      </c>
      <c r="E10" s="37" t="s">
        <v>231</v>
      </c>
      <c r="F10" s="37" t="s">
        <v>232</v>
      </c>
      <c r="G10" s="37" t="s">
        <v>233</v>
      </c>
    </row>
    <row r="11" customFormat="false" ht="36" hidden="false" customHeight="true" outlineLevel="0" collapsed="false">
      <c r="B11" s="42" t="s">
        <v>211</v>
      </c>
      <c r="C11" s="76" t="n">
        <v>150000</v>
      </c>
      <c r="D11" s="77" t="n">
        <v>0.095</v>
      </c>
      <c r="E11" s="42" t="s">
        <v>234</v>
      </c>
      <c r="F11" s="42" t="s">
        <v>235</v>
      </c>
      <c r="G11" s="42" t="s">
        <v>236</v>
      </c>
    </row>
    <row r="12" customFormat="false" ht="36" hidden="false" customHeight="true" outlineLevel="0" collapsed="false">
      <c r="B12" s="37" t="s">
        <v>207</v>
      </c>
      <c r="C12" s="74" t="n">
        <v>133000</v>
      </c>
      <c r="D12" s="75" t="n">
        <v>0.105</v>
      </c>
      <c r="E12" s="37" t="s">
        <v>231</v>
      </c>
      <c r="F12" s="37" t="s">
        <v>235</v>
      </c>
      <c r="G12" s="37" t="s">
        <v>237</v>
      </c>
    </row>
    <row r="16" customFormat="false" ht="25.5" hidden="false" customHeight="true" outlineLevel="0" collapsed="false">
      <c r="B16" s="72" t="s">
        <v>238</v>
      </c>
      <c r="C16" s="72"/>
      <c r="D16" s="72"/>
      <c r="E16" s="72"/>
      <c r="F16" s="72"/>
      <c r="G16" s="72"/>
    </row>
    <row r="18" customFormat="false" ht="15" hidden="false" customHeight="true" outlineLevel="0" collapsed="false">
      <c r="B18" s="45" t="s">
        <v>239</v>
      </c>
      <c r="C18" s="45"/>
      <c r="D18" s="78"/>
      <c r="E18" s="78"/>
      <c r="F18" s="78"/>
      <c r="G18" s="78"/>
    </row>
    <row r="19" customFormat="false" ht="15" hidden="false" customHeight="true" outlineLevel="0" collapsed="false">
      <c r="B19" s="50" t="s">
        <v>240</v>
      </c>
      <c r="C19" s="50"/>
      <c r="D19" s="79"/>
      <c r="E19" s="79"/>
      <c r="F19" s="79"/>
      <c r="G19" s="79"/>
    </row>
    <row r="20" customFormat="false" ht="15" hidden="false" customHeight="true" outlineLevel="0" collapsed="false">
      <c r="B20" s="45" t="s">
        <v>241</v>
      </c>
      <c r="C20" s="45"/>
      <c r="D20" s="78"/>
      <c r="E20" s="78"/>
      <c r="F20" s="78"/>
      <c r="G20" s="78"/>
    </row>
    <row r="21" customFormat="false" ht="15" hidden="false" customHeight="true" outlineLevel="0" collapsed="false">
      <c r="B21" s="50" t="s">
        <v>242</v>
      </c>
      <c r="C21" s="50"/>
      <c r="D21" s="79"/>
      <c r="E21" s="79"/>
      <c r="F21" s="79"/>
      <c r="G21" s="79"/>
    </row>
    <row r="22" customFormat="false" ht="15" hidden="false" customHeight="true" outlineLevel="0" collapsed="false">
      <c r="B22" s="45" t="s">
        <v>243</v>
      </c>
      <c r="C22" s="45"/>
      <c r="D22" s="78"/>
      <c r="E22" s="78"/>
      <c r="F22" s="78"/>
      <c r="G22" s="78"/>
    </row>
    <row r="24" customFormat="false" ht="49.5" hidden="false" customHeight="true" outlineLevel="0" collapsed="false">
      <c r="B24" s="80" t="s">
        <v>244</v>
      </c>
      <c r="C24" s="80"/>
      <c r="D24" s="80"/>
      <c r="E24" s="80"/>
      <c r="F24" s="80"/>
      <c r="G24" s="80"/>
    </row>
    <row r="26" customFormat="false" ht="25.5" hidden="false" customHeight="true" outlineLevel="0" collapsed="false">
      <c r="B26" s="72" t="s">
        <v>245</v>
      </c>
      <c r="C26" s="72"/>
      <c r="D26" s="72"/>
      <c r="E26" s="72"/>
      <c r="F26" s="72"/>
      <c r="G26" s="72"/>
    </row>
    <row r="28" customFormat="false" ht="15" hidden="false" customHeight="true" outlineLevel="0" collapsed="false">
      <c r="B28" s="65" t="s">
        <v>246</v>
      </c>
      <c r="C28" s="65"/>
      <c r="D28" s="65"/>
      <c r="E28" s="65"/>
      <c r="F28" s="65"/>
      <c r="G28" s="65"/>
    </row>
    <row r="29" customFormat="false" ht="15" hidden="false" customHeight="true" outlineLevel="0" collapsed="false">
      <c r="B29" s="65" t="s">
        <v>247</v>
      </c>
      <c r="C29" s="65"/>
      <c r="D29" s="65"/>
      <c r="E29" s="65"/>
      <c r="F29" s="65"/>
      <c r="G29" s="65"/>
    </row>
    <row r="30" customFormat="false" ht="15" hidden="false" customHeight="true" outlineLevel="0" collapsed="false">
      <c r="B30" s="65" t="s">
        <v>248</v>
      </c>
      <c r="C30" s="65"/>
      <c r="D30" s="65"/>
      <c r="E30" s="65"/>
      <c r="F30" s="65"/>
      <c r="G30" s="65"/>
    </row>
    <row r="31" customFormat="false" ht="15" hidden="false" customHeight="true" outlineLevel="0" collapsed="false">
      <c r="B31" s="65" t="s">
        <v>249</v>
      </c>
      <c r="C31" s="65"/>
      <c r="D31" s="65"/>
      <c r="E31" s="65"/>
      <c r="F31" s="65"/>
      <c r="G31" s="65"/>
    </row>
    <row r="32" customFormat="false" ht="15" hidden="false" customHeight="true" outlineLevel="0" collapsed="false">
      <c r="B32" s="65" t="s">
        <v>250</v>
      </c>
      <c r="C32" s="65"/>
      <c r="D32" s="65"/>
      <c r="E32" s="65"/>
      <c r="F32" s="65"/>
      <c r="G32" s="65"/>
    </row>
  </sheetData>
  <mergeCells count="16">
    <mergeCell ref="B2:G2"/>
    <mergeCell ref="B3:G3"/>
    <mergeCell ref="B5:G5"/>
    <mergeCell ref="B16:G16"/>
    <mergeCell ref="B18:C18"/>
    <mergeCell ref="B19:C19"/>
    <mergeCell ref="B20:C20"/>
    <mergeCell ref="B21:C21"/>
    <mergeCell ref="B22:C22"/>
    <mergeCell ref="B24:G24"/>
    <mergeCell ref="B26:G26"/>
    <mergeCell ref="B28:G28"/>
    <mergeCell ref="B29:G29"/>
    <mergeCell ref="B30:G30"/>
    <mergeCell ref="B31:G31"/>
    <mergeCell ref="B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60"/>
  </cols>
  <sheetData>
    <row r="2" customFormat="false" ht="27.75" hidden="false" customHeight="true" outlineLevel="0" collapsed="false">
      <c r="B2" s="16" t="s">
        <v>251</v>
      </c>
      <c r="C2" s="16"/>
      <c r="D2" s="16"/>
    </row>
    <row r="4" customFormat="false" ht="30" hidden="false" customHeight="true" outlineLevel="0" collapsed="false">
      <c r="A4" s="17"/>
      <c r="B4" s="17" t="s">
        <v>252</v>
      </c>
      <c r="C4" s="17" t="s">
        <v>253</v>
      </c>
      <c r="D4" s="17" t="s">
        <v>63</v>
      </c>
    </row>
    <row r="5" customFormat="false" ht="21.75" hidden="false" customHeight="true" outlineLevel="0" collapsed="false">
      <c r="B5" s="45" t="s">
        <v>254</v>
      </c>
      <c r="C5" s="81" t="n">
        <v>0.0668</v>
      </c>
      <c r="D5" s="82" t="s">
        <v>255</v>
      </c>
    </row>
    <row r="6" customFormat="false" ht="21.75" hidden="false" customHeight="true" outlineLevel="0" collapsed="false">
      <c r="B6" s="45" t="s">
        <v>256</v>
      </c>
      <c r="C6" s="81" t="n">
        <v>0.0595</v>
      </c>
      <c r="D6" s="82" t="s">
        <v>257</v>
      </c>
    </row>
    <row r="7" customFormat="false" ht="21.75" hidden="false" customHeight="true" outlineLevel="0" collapsed="false">
      <c r="B7" s="45" t="s">
        <v>258</v>
      </c>
      <c r="C7" s="81" t="n">
        <v>0.025</v>
      </c>
      <c r="D7" s="82" t="s">
        <v>259</v>
      </c>
    </row>
    <row r="8" customFormat="false" ht="21.75" hidden="false" customHeight="true" outlineLevel="0" collapsed="false">
      <c r="B8" s="45" t="s">
        <v>260</v>
      </c>
      <c r="C8" s="81" t="n">
        <v>0.085</v>
      </c>
      <c r="D8" s="82" t="s">
        <v>261</v>
      </c>
    </row>
    <row r="9" customFormat="false" ht="21.75" hidden="false" customHeight="true" outlineLevel="0" collapsed="false">
      <c r="B9" s="45" t="s">
        <v>262</v>
      </c>
      <c r="C9" s="81" t="n">
        <v>0.1</v>
      </c>
      <c r="D9" s="82" t="s">
        <v>263</v>
      </c>
    </row>
    <row r="10" customFormat="false" ht="21.75" hidden="false" customHeight="true" outlineLevel="0" collapsed="false">
      <c r="B10" s="45" t="s">
        <v>264</v>
      </c>
      <c r="C10" s="81" t="n">
        <v>0.2</v>
      </c>
      <c r="D10" s="82" t="s">
        <v>265</v>
      </c>
    </row>
    <row r="11" customFormat="false" ht="21.75" hidden="false" customHeight="true" outlineLevel="0" collapsed="false">
      <c r="B11" s="45" t="s">
        <v>266</v>
      </c>
      <c r="C11" s="83" t="n">
        <v>150</v>
      </c>
      <c r="D11" s="82" t="s">
        <v>267</v>
      </c>
    </row>
    <row r="12" customFormat="false" ht="21.75" hidden="false" customHeight="true" outlineLevel="0" collapsed="false">
      <c r="B12" s="45" t="s">
        <v>268</v>
      </c>
      <c r="C12" s="81" t="n">
        <v>0.08</v>
      </c>
      <c r="D12" s="82" t="s">
        <v>269</v>
      </c>
    </row>
    <row r="13" customFormat="false" ht="21.75" hidden="false" customHeight="true" outlineLevel="0" collapsed="false">
      <c r="B13" s="45" t="s">
        <v>270</v>
      </c>
      <c r="C13" s="81" t="n">
        <v>0.08</v>
      </c>
      <c r="D13" s="82" t="s">
        <v>271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1" t="s">
        <v>132</v>
      </c>
      <c r="B1" s="1" t="s">
        <v>64</v>
      </c>
    </row>
    <row r="2" customFormat="false" ht="15" hidden="false" customHeight="true" outlineLevel="0" collapsed="false">
      <c r="A2" s="1" t="s">
        <v>151</v>
      </c>
      <c r="B2" s="1" t="s">
        <v>71</v>
      </c>
    </row>
    <row r="3" customFormat="false" ht="15" hidden="false" customHeight="true" outlineLevel="0" collapsed="false">
      <c r="A3" s="1" t="s">
        <v>140</v>
      </c>
      <c r="B3" s="1" t="s">
        <v>76</v>
      </c>
    </row>
    <row r="4" customFormat="false" ht="15" hidden="false" customHeight="true" outlineLevel="0" collapsed="false">
      <c r="A4" s="1" t="s">
        <v>158</v>
      </c>
    </row>
    <row r="5" customFormat="false" ht="15" hidden="false" customHeight="true" outlineLevel="0" collapsed="false">
      <c r="A5" s="1" t="s">
        <v>145</v>
      </c>
    </row>
    <row r="6" customFormat="false" ht="15" hidden="false" customHeight="true" outlineLevel="0" collapsed="false">
      <c r="A6" s="1" t="s">
        <v>159</v>
      </c>
    </row>
    <row r="7" customFormat="false" ht="15" hidden="false" customHeight="true" outlineLevel="0" collapsed="false">
      <c r="A7" s="1" t="s">
        <v>58</v>
      </c>
    </row>
    <row r="8" customFormat="false" ht="15" hidden="false" customHeight="true" outlineLevel="0" collapsed="false">
      <c r="A8" s="1" t="s">
        <v>160</v>
      </c>
    </row>
    <row r="9" customFormat="false" ht="15" hidden="false" customHeight="true" outlineLevel="0" collapsed="false">
      <c r="A9" s="1" t="s">
        <v>161</v>
      </c>
    </row>
    <row r="10" customFormat="false" ht="15" hidden="false" customHeight="true" outlineLevel="0" collapsed="false">
      <c r="A10" s="1" t="s">
        <v>202</v>
      </c>
    </row>
    <row r="11" customFormat="false" ht="15" hidden="false" customHeight="true" outlineLevel="0" collapsed="false">
      <c r="A11" s="1" t="s">
        <v>205</v>
      </c>
    </row>
    <row r="12" customFormat="false" ht="15" hidden="false" customHeight="true" outlineLevel="0" collapsed="false">
      <c r="A12" s="1" t="s">
        <v>272</v>
      </c>
    </row>
    <row r="13" customFormat="false" ht="15" hidden="false" customHeight="true" outlineLevel="0" collapsed="false">
      <c r="A13" s="1" t="s">
        <v>273</v>
      </c>
    </row>
    <row r="14" customFormat="false" ht="15" hidden="false" customHeight="true" outlineLevel="0" collapsed="false">
      <c r="A14" s="1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2026-05-03T20:16:03Z</dcterms:created>
  <dc:creator>openpyxl</dc:creator>
  <dc:description/>
  <dc:language>en-US</dc:language>
  <cp:lastModifiedBy/>
  <dcterms:modified xsi:type="dcterms:W3CDTF">2026-05-03T20:16:47Z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